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" sheetId="1" state="visible" r:id="rId3"/>
    <sheet name="LIBRO DIARIO" sheetId="2" state="visible" r:id="rId4"/>
    <sheet name="MAYORIZACIÓN" sheetId="3" state="visible" r:id="rId5"/>
    <sheet name="HOJA DE COSTOS" sheetId="4" state="visible" r:id="rId6"/>
    <sheet name="KARDEX" sheetId="5" state="visible" r:id="rId7"/>
    <sheet name="CÁLCULOS" sheetId="6" state="visible" r:id="rId8"/>
    <sheet name="ORDEN P" sheetId="7" state="visible" r:id="rId9"/>
    <sheet name="ROL MOD" sheetId="8" state="visible" r:id="rId10"/>
    <sheet name="Hoja2" sheetId="9" state="visible" r:id="rId11"/>
  </sheets>
  <externalReferences>
    <externalReference r:id="rId12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<sst xmlns="http://schemas.openxmlformats.org/spreadsheetml/2006/main" count="1439" uniqueCount="310">
  <si>
    <t xml:space="preserve">EJERCICIO INTEGRAL DE COSTOS POR ÓRDENES   DE PRODUCCION </t>
  </si>
  <si>
    <t xml:space="preserve">La empresa industria de producción textil de camisetas “ALAN SPORT” fabrica camisetas polo para hombre de las tallas S,M,L. Trabaja bajo un sistema de costos por órdenes de producción.</t>
  </si>
  <si>
    <t xml:space="preserve">PRODUCTO</t>
  </si>
  <si>
    <t xml:space="preserve">TELA</t>
  </si>
  <si>
    <t xml:space="preserve">CUELLO</t>
  </si>
  <si>
    <t xml:space="preserve">PUÑOS</t>
  </si>
  <si>
    <t xml:space="preserve">BOTON  </t>
  </si>
  <si>
    <t xml:space="preserve">HILO</t>
  </si>
  <si>
    <t xml:space="preserve">Camiseta S</t>
  </si>
  <si>
    <t xml:space="preserve">80 cm</t>
  </si>
  <si>
    <t xml:space="preserve">4mt</t>
  </si>
  <si>
    <t xml:space="preserve">Camiseta M</t>
  </si>
  <si>
    <t xml:space="preserve">90 cm</t>
  </si>
  <si>
    <t xml:space="preserve">5mt</t>
  </si>
  <si>
    <t xml:space="preserve">Camiseta L</t>
  </si>
  <si>
    <t xml:space="preserve">1,10 cm </t>
  </si>
  <si>
    <t xml:space="preserve">6mt</t>
  </si>
  <si>
    <t xml:space="preserve">DIARIO</t>
  </si>
  <si>
    <t xml:space="preserve">3 DIAS</t>
  </si>
  <si>
    <t xml:space="preserve">PRECIO U.</t>
  </si>
  <si>
    <t xml:space="preserve"> Sus datos iniciales de inventario son</t>
  </si>
  <si>
    <t xml:space="preserve"> CUELLO</t>
  </si>
  <si>
    <t xml:space="preserve">       BOTON  </t>
  </si>
  <si>
    <t xml:space="preserve">100 rollos 45mt</t>
  </si>
  <si>
    <t xml:space="preserve">        100 Conos</t>
  </si>
  <si>
    <t xml:space="preserve">En una semana de producción se produce </t>
  </si>
  <si>
    <t xml:space="preserve">CANTIDAD</t>
  </si>
  <si>
    <t xml:space="preserve">STOCK</t>
  </si>
  <si>
    <t xml:space="preserve">METROS:</t>
  </si>
  <si>
    <t xml:space="preserve">Además, tiene en el  banco $ 80.000, en maquinaria  $70.000,00, debe a proveedores $15000 y en sus ventas se margina una utilidad del 80%,  la empresa cuenta con los siguientes trabajadores:</t>
  </si>
  <si>
    <t xml:space="preserve">30 obreros con un sueldo básico de $482, el 50% de ellos trabajan más de un año, horas extras frecuentes de 4 normales y 8 extraordinarias, se considera que el 25% del tiempo se destina a fabricar la talla S, el 40% la M y el 35% la L.</t>
  </si>
  <si>
    <t xml:space="preserve">1 jefe de producción y 1 supervisor con  un sueldo de $ 700 y $ 650 respectivamente, todos trabajan más de un año, bonos de producción frecuentes de $ 60 y $ 100 respectivamente. Sus pagos son semanalmente.</t>
  </si>
  <si>
    <t xml:space="preserve">En lo referente a los costos indirectos de fabricación la empresa determina su aplicación en base a unidades producidas y que como costos indirectos mensuales tenemos energía eléctrica $500, mantenimiento $25 por máquina, seguros de fabrica $350 y la correspondiente  depreciación. </t>
  </si>
  <si>
    <t xml:space="preserve">Las órdenes de producción durante el mes de enero del 2026 fueron las siguientes:</t>
  </si>
  <si>
    <t xml:space="preserve">Enero 05: se recibe un pedido por parte TOMY para una producción de</t>
  </si>
  <si>
    <t xml:space="preserve">La fecha estimada de entrega es el  </t>
  </si>
  <si>
    <t xml:space="preserve">ENERO : se recibe un pedido de TEXPAX para la fabricación de </t>
  </si>
  <si>
    <t xml:space="preserve"> </t>
  </si>
  <si>
    <t xml:space="preserve">La fecha estimada de entrega es el </t>
  </si>
  <si>
    <t xml:space="preserve"> Para la fabricación y venta se asume que la empresa compra lo necesario para su producción con un incremento del 10%, y vende sus productos en las fechas terminadas con el 80% de ganancia.</t>
  </si>
  <si>
    <t xml:space="preserve">Comprar materia prima y mandar a produccion, 2, 3</t>
  </si>
  <si>
    <t xml:space="preserve">INDUSTRIAS "ALAN SPORT"</t>
  </si>
  <si>
    <t xml:space="preserve">LIBRO DIARIO</t>
  </si>
  <si>
    <t xml:space="preserve">FOLIO:</t>
  </si>
  <si>
    <t xml:space="preserve">FECHA</t>
  </si>
  <si>
    <t xml:space="preserve">DETALLE</t>
  </si>
  <si>
    <t xml:space="preserve">N/M</t>
  </si>
  <si>
    <t xml:space="preserve">PARCIAL</t>
  </si>
  <si>
    <t xml:space="preserve">DEBE </t>
  </si>
  <si>
    <t xml:space="preserve">HABER</t>
  </si>
  <si>
    <t xml:space="preserve"> --------------------------- 1 ---------------------------</t>
  </si>
  <si>
    <t xml:space="preserve">BANCOS</t>
  </si>
  <si>
    <t xml:space="preserve">INV. MATERIA PRIMA DIRECTA</t>
  </si>
  <si>
    <t xml:space="preserve">INV. MATERIA PRIMA INDIRECTA</t>
  </si>
  <si>
    <t xml:space="preserve">MAQUINARIA</t>
  </si>
  <si>
    <t xml:space="preserve">          PROVEEDORES</t>
  </si>
  <si>
    <t xml:space="preserve">          CAPITAL</t>
  </si>
  <si>
    <t xml:space="preserve">P/R la situació inicial de la industria </t>
  </si>
  <si>
    <t xml:space="preserve"> --------------------------- 2 ---------------------------</t>
  </si>
  <si>
    <t xml:space="preserve">P/R la compra de materia prima para la OP#100 a crédito</t>
  </si>
  <si>
    <t xml:space="preserve"> --------------------------- 3 ---------------------------</t>
  </si>
  <si>
    <t xml:space="preserve">PRODUCCIÓN PROCESO OP#100 TS</t>
  </si>
  <si>
    <t xml:space="preserve">PRODUCCIÓN PROCESO OP#100 TM</t>
  </si>
  <si>
    <t xml:space="preserve">PRODUCCIÓN PROCESO OP#100 TL</t>
  </si>
  <si>
    <t xml:space="preserve">          INV. MATERIA PRIMA DIRECTA</t>
  </si>
  <si>
    <t xml:space="preserve">          INV. MATERIA PRIMA INDIRECTA</t>
  </si>
  <si>
    <t xml:space="preserve">P/R el envio de materia prima directa e indirecta para la OP#100</t>
  </si>
  <si>
    <t xml:space="preserve"> --------------------------- 4 ---------------------------</t>
  </si>
  <si>
    <t xml:space="preserve">MANO DE OBRA DIRECTA</t>
  </si>
  <si>
    <t xml:space="preserve">MANO DE OBRA INDIRECTA </t>
  </si>
  <si>
    <t xml:space="preserve">          IESS POR PAGAR</t>
  </si>
  <si>
    <t xml:space="preserve">          XIII SUELDO POR PAGAR</t>
  </si>
  <si>
    <t xml:space="preserve">          XIV SUELDO POR PAGAR</t>
  </si>
  <si>
    <t xml:space="preserve">          VACACIONES</t>
  </si>
  <si>
    <t xml:space="preserve">          BANCOS</t>
  </si>
  <si>
    <t xml:space="preserve">P/R el pago de la mod y moi de una semana de la op#100</t>
  </si>
  <si>
    <t xml:space="preserve"> --------------------------- 5 ---------------------------</t>
  </si>
  <si>
    <t xml:space="preserve">          MANO DE OBRA DIRECTA</t>
  </si>
  <si>
    <t xml:space="preserve">          MANO DE OBRA INDIRECTA </t>
  </si>
  <si>
    <t xml:space="preserve">P/R el cargo de la mod y moi para OP#100</t>
  </si>
  <si>
    <t xml:space="preserve"> --------------------------- 6 ---------------------------</t>
  </si>
  <si>
    <t xml:space="preserve">          SUELDOS POR PAGAR</t>
  </si>
  <si>
    <t xml:space="preserve">P/R el pago de la mod y moi de tres dias de la op#100</t>
  </si>
  <si>
    <t xml:space="preserve"> --------------------------- 7 ---------------------------</t>
  </si>
  <si>
    <t xml:space="preserve">P/R el cargo de la mod y moi de 3 dias para OP#100</t>
  </si>
  <si>
    <t xml:space="preserve"> --------------------------- 8 ---------------------------</t>
  </si>
  <si>
    <t xml:space="preserve">ENERGÍA ELÉCTRICA</t>
  </si>
  <si>
    <t xml:space="preserve">MANTENIMIENTO</t>
  </si>
  <si>
    <t xml:space="preserve">SEGUROS DE FÁBRICA</t>
  </si>
  <si>
    <t xml:space="preserve">DEPRECIACIÓN MAQUINARIA</t>
  </si>
  <si>
    <t xml:space="preserve">          CUENTAS POR PAGAR</t>
  </si>
  <si>
    <t xml:space="preserve">          DEPRE. ACUM. MAQUINARIA</t>
  </si>
  <si>
    <t xml:space="preserve">P/R el presupuesto de producción de cif para la OP#100</t>
  </si>
  <si>
    <t xml:space="preserve"> --------------------------- 9 ---------------------------</t>
  </si>
  <si>
    <t xml:space="preserve">COSTOS INDIRECTOS FÁBRICA</t>
  </si>
  <si>
    <t xml:space="preserve">          ENERGÍA ELÉCTRICA</t>
  </si>
  <si>
    <t xml:space="preserve">          MANTENIMIENTO</t>
  </si>
  <si>
    <t xml:space="preserve">          SEGUROS DE FÁBRICA</t>
  </si>
  <si>
    <t xml:space="preserve">          DEPRECIACIÓN MAQUINARIA</t>
  </si>
  <si>
    <t xml:space="preserve">P/R la determinación de los cif para la OP#100</t>
  </si>
  <si>
    <t xml:space="preserve"> --------------------------- 10 ---------------------------</t>
  </si>
  <si>
    <t xml:space="preserve">          COSTOS INDIRECTOS DE FÁBRICA</t>
  </si>
  <si>
    <t xml:space="preserve">P/R el cargo de la mod y moi de 3 días para OP#100</t>
  </si>
  <si>
    <t xml:space="preserve"> --------------------------- 11 ---------------------------</t>
  </si>
  <si>
    <t xml:space="preserve">PRODUCTO TERMINADO OP#100 TS</t>
  </si>
  <si>
    <t xml:space="preserve">PRODUCTO TERMINADO OP#100 TM</t>
  </si>
  <si>
    <t xml:space="preserve">PRODUCTO TERMINADO OP#100 TL</t>
  </si>
  <si>
    <t xml:space="preserve">          PRODUCCIÓN PROCESO OP#100 TS</t>
  </si>
  <si>
    <t xml:space="preserve">          PRODUCCIÓN PROCESO OP#100 TM</t>
  </si>
  <si>
    <t xml:space="preserve">          PRODUCCIÓN PROCESO OP#100 TL</t>
  </si>
  <si>
    <t xml:space="preserve">P/R productos terminados entregados por producción de OP#100</t>
  </si>
  <si>
    <t xml:space="preserve"> --------------------------- 12 ---------------------------</t>
  </si>
  <si>
    <t xml:space="preserve">CAJA </t>
  </si>
  <si>
    <t xml:space="preserve">          VENTAS</t>
  </si>
  <si>
    <t xml:space="preserve">P/R la venta de contado de los productos terminados de OP#100</t>
  </si>
  <si>
    <t xml:space="preserve"> --------------------------- 12.1 ---------------------------</t>
  </si>
  <si>
    <t xml:space="preserve">COSTO DE PRODUCCIÓN Y VENTA</t>
  </si>
  <si>
    <t xml:space="preserve">          PRODUCTO TERMINADO OP#100 TS</t>
  </si>
  <si>
    <t xml:space="preserve">          PRODUCTO TERMINADO OP#100 TM</t>
  </si>
  <si>
    <t xml:space="preserve">          PRODUCTO TERMINADO OP#100 TL</t>
  </si>
  <si>
    <t xml:space="preserve">P/R el costo de los productos terminados y vendidos de OP#100</t>
  </si>
  <si>
    <t xml:space="preserve"> --------------------------- 13 ---------------------------</t>
  </si>
  <si>
    <t xml:space="preserve"> --------------------------- 14 ---------------------------</t>
  </si>
  <si>
    <t xml:space="preserve">PRODUCCIÓN PROCESO OP#101 TS</t>
  </si>
  <si>
    <t xml:space="preserve">PRODUCCIÓN PROCESO OP#101 TM</t>
  </si>
  <si>
    <t xml:space="preserve">PRODUCCIÓN PROCESO OP#101 TL</t>
  </si>
  <si>
    <t xml:space="preserve"> --------------------------- 15 ---------------------------</t>
  </si>
  <si>
    <t xml:space="preserve">P/R el pago de la mod y moi de dos dias de la op#101</t>
  </si>
  <si>
    <t xml:space="preserve"> --------------------------- 16 ---------------------------</t>
  </si>
  <si>
    <t xml:space="preserve">P/R el cargo de la mod y moi de dos dias para la OP#101</t>
  </si>
  <si>
    <t xml:space="preserve"> --------------------------- 17 ---------------------------</t>
  </si>
  <si>
    <t xml:space="preserve">P/R el pago de la mod y moi de una semana de la op#101</t>
  </si>
  <si>
    <t xml:space="preserve"> --------------------------- 18 ---------------------------</t>
  </si>
  <si>
    <t xml:space="preserve">P/R el cargo de la mod y moi de una semana para la OP#101</t>
  </si>
  <si>
    <t xml:space="preserve"> --------------------------- 19 ---------------------------</t>
  </si>
  <si>
    <t xml:space="preserve">P/R el pago de la mod y moi de tres dias de la op#101</t>
  </si>
  <si>
    <t xml:space="preserve"> --------------------------- 20 ---------------------------</t>
  </si>
  <si>
    <t xml:space="preserve">P/R el cargo de la mod y moi de tres dias para la OP#101</t>
  </si>
  <si>
    <t xml:space="preserve"> --------------------------- 21 ---------------------------</t>
  </si>
  <si>
    <t xml:space="preserve">P/R el presupuesto de producción de cif para la OP#101</t>
  </si>
  <si>
    <t xml:space="preserve"> --------------------------- 22 ---------------------------</t>
  </si>
  <si>
    <t xml:space="preserve">P/R la determinación de los cif para la OP#101</t>
  </si>
  <si>
    <t xml:space="preserve"> --------------------------- 23 ---------------------------</t>
  </si>
  <si>
    <t xml:space="preserve">P/R el cargo de la mod y moi de 3 días para OP#101</t>
  </si>
  <si>
    <t xml:space="preserve">Industrias "ALAN SPORT"</t>
  </si>
  <si>
    <t xml:space="preserve">LIBRO MAYOR</t>
  </si>
  <si>
    <t xml:space="preserve">CUENTA </t>
  </si>
  <si>
    <t xml:space="preserve">No</t>
  </si>
  <si>
    <t xml:space="preserve">F</t>
  </si>
  <si>
    <t xml:space="preserve">A</t>
  </si>
  <si>
    <t xml:space="preserve">DEBE</t>
  </si>
  <si>
    <t xml:space="preserve">SALDO</t>
  </si>
  <si>
    <t xml:space="preserve">A VARIOS</t>
  </si>
  <si>
    <t xml:space="preserve">A VARIOS </t>
  </si>
  <si>
    <t xml:space="preserve">POR MOD Y MOI</t>
  </si>
  <si>
    <t xml:space="preserve">A PROVEEDORES</t>
  </si>
  <si>
    <t xml:space="preserve">A VENTAS</t>
  </si>
  <si>
    <t xml:space="preserve">POR PRODUCCIÓN.PROCESO</t>
  </si>
  <si>
    <t xml:space="preserve">POR BANCOS </t>
  </si>
  <si>
    <t xml:space="preserve">POR COSTO DE VENTAS</t>
  </si>
  <si>
    <t xml:space="preserve">POR MERCADERÍAS</t>
  </si>
  <si>
    <t xml:space="preserve">POR PRODUCCIÓN. PROCESO</t>
  </si>
  <si>
    <t xml:space="preserve">POR VARIOS</t>
  </si>
  <si>
    <t xml:space="preserve">A CAJA</t>
  </si>
  <si>
    <t xml:space="preserve">POR VEHÍCULOS</t>
  </si>
  <si>
    <t xml:space="preserve">POR GASTO ARRIENDO</t>
  </si>
  <si>
    <t xml:space="preserve">POR GATOS SUELDOS</t>
  </si>
  <si>
    <t xml:space="preserve">POR VARIOS </t>
  </si>
  <si>
    <t xml:space="preserve">A MOD Y MOI</t>
  </si>
  <si>
    <t xml:space="preserve">A CIF</t>
  </si>
  <si>
    <t xml:space="preserve">POR PRO. TERMINADOS TS</t>
  </si>
  <si>
    <t xml:space="preserve">POR PRO. TERMINADOS TM</t>
  </si>
  <si>
    <t xml:space="preserve">POR PRO. TERMINADOS TL</t>
  </si>
  <si>
    <t xml:space="preserve"> $                      -  </t>
  </si>
  <si>
    <t xml:space="preserve">POR CIF</t>
  </si>
  <si>
    <t xml:space="preserve">POR VENTA</t>
  </si>
  <si>
    <t xml:space="preserve">12.1</t>
  </si>
  <si>
    <t xml:space="preserve">POR CAJA</t>
  </si>
  <si>
    <t xml:space="preserve">INDUSTRIAS "ALAN SPORT" </t>
  </si>
  <si>
    <t xml:space="preserve">HOJA DE COSTOS</t>
  </si>
  <si>
    <t xml:space="preserve">NÚMERO:</t>
  </si>
  <si>
    <t xml:space="preserve">ORDEN DE PRODUCCIÓN:</t>
  </si>
  <si>
    <t xml:space="preserve">CLIENTE:</t>
  </si>
  <si>
    <t xml:space="preserve">TOMY</t>
  </si>
  <si>
    <t xml:space="preserve">PRODUCTO:</t>
  </si>
  <si>
    <t xml:space="preserve">CANTIDAD:</t>
  </si>
  <si>
    <t xml:space="preserve">FECHA DE INICIO:</t>
  </si>
  <si>
    <t xml:space="preserve">FECHA TERMINO:</t>
  </si>
  <si>
    <t xml:space="preserve">MATERIA PRIMA DIRECTA</t>
  </si>
  <si>
    <t xml:space="preserve">FACHA </t>
  </si>
  <si>
    <t xml:space="preserve">V.UNITARIO</t>
  </si>
  <si>
    <t xml:space="preserve">V.TOTAL</t>
  </si>
  <si>
    <t xml:space="preserve">SUBTOTAL:</t>
  </si>
  <si>
    <t xml:space="preserve">MATERIA DE OBRA DIRECTA</t>
  </si>
  <si>
    <t xml:space="preserve">DEL 5 AL 9 DE ENERO</t>
  </si>
  <si>
    <t xml:space="preserve">DEL 12 AL 14 DE ENERO</t>
  </si>
  <si>
    <t xml:space="preserve">COSTOS INDIRECTOS DE FÀBRICA</t>
  </si>
  <si>
    <t xml:space="preserve">MOI</t>
  </si>
  <si>
    <t xml:space="preserve">COSTO TOTAL DE PRODUCCIÓN:</t>
  </si>
  <si>
    <t xml:space="preserve">UNIDADES PRODUCIDAS:</t>
  </si>
  <si>
    <t xml:space="preserve">COSTO UNITARIO:</t>
  </si>
  <si>
    <t xml:space="preserve">DEL 15 AL 16 DE ENERO</t>
  </si>
  <si>
    <t xml:space="preserve">DEL 19 AL 23 DE ENERO</t>
  </si>
  <si>
    <t xml:space="preserve">DEL 26 AL 28 DE ENERO</t>
  </si>
  <si>
    <t xml:space="preserve">KARDEX</t>
  </si>
  <si>
    <t xml:space="preserve">PRODUCTO: </t>
  </si>
  <si>
    <t xml:space="preserve">TELA PIQUET</t>
  </si>
  <si>
    <t xml:space="preserve">UNIDAD MEDIA: METROS</t>
  </si>
  <si>
    <t xml:space="preserve">MÉTODO:</t>
  </si>
  <si>
    <t xml:space="preserve">PROMEDIO</t>
  </si>
  <si>
    <t xml:space="preserve">No. </t>
  </si>
  <si>
    <t xml:space="preserve">ENTRADAS</t>
  </si>
  <si>
    <t xml:space="preserve">SALIDAS</t>
  </si>
  <si>
    <t xml:space="preserve">SALDOS</t>
  </si>
  <si>
    <t xml:space="preserve">CANT.</t>
  </si>
  <si>
    <t xml:space="preserve">V.UNI</t>
  </si>
  <si>
    <t xml:space="preserve">SITUACIÓN INICIA DE LA INDUSTRIA</t>
  </si>
  <si>
    <t xml:space="preserve">COMPRA SEGÙN FACTURA PARA OP#100</t>
  </si>
  <si>
    <t xml:space="preserve">ENVIO A PRODUCCIÓN OP#100 TS</t>
  </si>
  <si>
    <t xml:space="preserve">ENVIO A PRODUCCIÓN OP#100 TM</t>
  </si>
  <si>
    <t xml:space="preserve">ENVIO A PRODUCCIÓN OP#100 TL</t>
  </si>
  <si>
    <t xml:space="preserve">COMPRA SEGÙN FACTURA PARA OP#101</t>
  </si>
  <si>
    <t xml:space="preserve">ENVIO A PRODUCCIÓN OP#101 TS</t>
  </si>
  <si>
    <t xml:space="preserve">ENVIO A PRODUCCIÓN OP#101 TM</t>
  </si>
  <si>
    <t xml:space="preserve">ENVIO A PRODUCCIÓN OP#101 TL</t>
  </si>
  <si>
    <t xml:space="preserve">CUELLOS</t>
  </si>
  <si>
    <t xml:space="preserve">UNIDAD MEDIA: UNITARIO</t>
  </si>
  <si>
    <t xml:space="preserve">BOTÓN</t>
  </si>
  <si>
    <t xml:space="preserve">UNIDAD MEDIA: METRO</t>
  </si>
  <si>
    <t xml:space="preserve">ENTREGA DE PRODUCCIÓN OP#100</t>
  </si>
  <si>
    <t xml:space="preserve">VENTA SEGUN FACTURA</t>
  </si>
  <si>
    <t xml:space="preserve">PRODUCTO: BOTON</t>
  </si>
  <si>
    <t xml:space="preserve"> $                        -  </t>
  </si>
  <si>
    <t xml:space="preserve">PRODUCTOS</t>
  </si>
  <si>
    <t xml:space="preserve">REQUERIMIENTO</t>
  </si>
  <si>
    <t xml:space="preserve">TOTAL</t>
  </si>
  <si>
    <t xml:space="preserve">INVENTARIO</t>
  </si>
  <si>
    <t xml:space="preserve">COMPRA</t>
  </si>
  <si>
    <t xml:space="preserve">INV. FINAL</t>
  </si>
  <si>
    <t xml:space="preserve">COMPRA OPTIMA</t>
  </si>
  <si>
    <t xml:space="preserve">CAMISETA S</t>
  </si>
  <si>
    <t xml:space="preserve">CAMISETA L</t>
  </si>
  <si>
    <t xml:space="preserve">CAMISETA M</t>
  </si>
  <si>
    <t xml:space="preserve">CENTÍMETROS:</t>
  </si>
  <si>
    <t xml:space="preserve">METRO:</t>
  </si>
  <si>
    <t xml:space="preserve">UNIDADES:</t>
  </si>
  <si>
    <t xml:space="preserve">MANO DE OBRA DIRECTA  ene 2026</t>
  </si>
  <si>
    <t xml:space="preserve">L</t>
  </si>
  <si>
    <t xml:space="preserve">M</t>
  </si>
  <si>
    <t xml:space="preserve">J</t>
  </si>
  <si>
    <t xml:space="preserve">V</t>
  </si>
  <si>
    <t xml:space="preserve">OP #100</t>
  </si>
  <si>
    <t xml:space="preserve">3 COSTOS INDIRECTOS DE FABRICACIÓN</t>
  </si>
  <si>
    <t xml:space="preserve">CIF</t>
  </si>
  <si>
    <t xml:space="preserve">MATERIA PRIMA INDIRECTA</t>
  </si>
  <si>
    <t xml:space="preserve">DISTRIBUCIÓN</t>
  </si>
  <si>
    <t xml:space="preserve">VALOR ANNUAL</t>
  </si>
  <si>
    <t xml:space="preserve">UNIDADES PRODUCIDAS</t>
  </si>
  <si>
    <t xml:space="preserve">COSTO POR UNIDAD</t>
  </si>
  <si>
    <t xml:space="preserve">MANTENIMIENTO </t>
  </si>
  <si>
    <t xml:space="preserve">VENTAS </t>
  </si>
  <si>
    <t xml:space="preserve">PVP</t>
  </si>
  <si>
    <t xml:space="preserve">OP #101</t>
  </si>
  <si>
    <t xml:space="preserve">ORDEN DE PRODUCCIÓN </t>
  </si>
  <si>
    <t xml:space="preserve">CLIENTE</t>
  </si>
  <si>
    <t xml:space="preserve">TEXPAX</t>
  </si>
  <si>
    <t xml:space="preserve">FECHA DE INICIO</t>
  </si>
  <si>
    <t xml:space="preserve">FECHA DE TERMINACIÓN:</t>
  </si>
  <si>
    <t xml:space="preserve">OBSERVACIÓN</t>
  </si>
  <si>
    <t xml:space="preserve">CON BORDADO</t>
  </si>
  <si>
    <t xml:space="preserve">…..........................................</t>
  </si>
  <si>
    <t xml:space="preserve">…...............................</t>
  </si>
  <si>
    <t xml:space="preserve">JEFE DE VENTAS</t>
  </si>
  <si>
    <t xml:space="preserve">ROL DE PAGOS</t>
  </si>
  <si>
    <t xml:space="preserve">HORAS EXTRAS Y SUPLEMENTARIAS</t>
  </si>
  <si>
    <t xml:space="preserve">No.</t>
  </si>
  <si>
    <t xml:space="preserve">NOMBRES Y APELLIDOS</t>
  </si>
  <si>
    <t xml:space="preserve">CARGO</t>
  </si>
  <si>
    <t xml:space="preserve">FECHA INGRESO</t>
  </si>
  <si>
    <t xml:space="preserve">SUELDO</t>
  </si>
  <si>
    <t xml:space="preserve">DIAS TRABAJADOS</t>
  </si>
  <si>
    <t xml:space="preserve">SUELDO LIQUIDO</t>
  </si>
  <si>
    <t xml:space="preserve">OTROS INGRESOS</t>
  </si>
  <si>
    <t xml:space="preserve">FONDO DE RESERVA</t>
  </si>
  <si>
    <t xml:space="preserve">TOTAL DE INGRESOS</t>
  </si>
  <si>
    <t xml:space="preserve">APORTE PERSONAL iess</t>
  </si>
  <si>
    <t xml:space="preserve">IMPUESTO RENTA</t>
  </si>
  <si>
    <t xml:space="preserve">RETENCIONES JUDICIALES</t>
  </si>
  <si>
    <t xml:space="preserve">0TROS DESCUENTOS</t>
  </si>
  <si>
    <t xml:space="preserve">TOTAL EGRESOS</t>
  </si>
  <si>
    <t xml:space="preserve">VALOR A RECIBIR</t>
  </si>
  <si>
    <t xml:space="preserve">Alan Brito Delgado</t>
  </si>
  <si>
    <t xml:space="preserve">Obreros</t>
  </si>
  <si>
    <t xml:space="preserve">Nori Navas Robles</t>
  </si>
  <si>
    <t xml:space="preserve">Zoila Vaca Martinez</t>
  </si>
  <si>
    <t xml:space="preserve">Giuliana Armas</t>
  </si>
  <si>
    <t xml:space="preserve">Valeria Cortez</t>
  </si>
  <si>
    <t xml:space="preserve">MANO DE OBRA INDIRECTA</t>
  </si>
  <si>
    <t xml:space="preserve">Jefe de Producción</t>
  </si>
  <si>
    <t xml:space="preserve">Supervisor </t>
  </si>
  <si>
    <t xml:space="preserve">ROL DE PROVISIONES</t>
  </si>
  <si>
    <t xml:space="preserve">Rol de proviciones</t>
  </si>
  <si>
    <t xml:space="preserve">XIII SUELDO</t>
  </si>
  <si>
    <t xml:space="preserve">XIV SUELDO</t>
  </si>
  <si>
    <t xml:space="preserve">VACACIONES</t>
  </si>
  <si>
    <t xml:space="preserve">FONDO RESERVA</t>
  </si>
  <si>
    <t xml:space="preserve">APORTE PATRONAL</t>
  </si>
  <si>
    <t xml:space="preserve">TOTAL PROVISIONES</t>
  </si>
  <si>
    <t xml:space="preserve">Mano de Obra Indirecta</t>
  </si>
  <si>
    <t xml:space="preserve">Supervisor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</si>
</sst>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_);[RED]&quot;($&quot;#,##0.00\)"/>
    <numFmt numFmtId="166" formatCode="0%"/>
    <numFmt numFmtId="167" formatCode="m/d/yyyy"/>
    <numFmt numFmtId="168" formatCode="_(\$* #,##0.00_);_(\$* \(#,##0.00\);_(\$* \-??_);_(@_)"/>
    <numFmt numFmtId="169" formatCode="_-\$* #,##0.00_-;&quot;-$&quot;* #,##0.00_-;_-\$* \-??_-;_-@_-"/>
    <numFmt numFmtId="170" formatCode="0.00"/>
    <numFmt numFmtId="171" formatCode="_(&quot;$ &quot;* #,##0.00_);_(&quot;$ &quot;* \(#,##0.00\);_(&quot;$ &quot;* \-??_);_(@_)"/>
    <numFmt numFmtId="172" formatCode="_-\$* #,##0.0000_-;&quot;-$&quot;* #,##0.0000_-;_-\$* \-??_-;_-@_-"/>
    <numFmt numFmtId="173" formatCode="General"/>
    <numFmt numFmtId="174" formatCode="_-\$* #,##0.000_-;&quot;-$&quot;* #,##0.000_-;_-\$* \-??_-;_-@_-"/>
    <numFmt numFmtId="175" formatCode="_(\$* #,##0.000_);_(\$* \(#,##0.000\);_(\$* \-??_);_(@_)"/>
    <numFmt numFmtId="176" formatCode="_-\$* #,##0.00_-;&quot;-$&quot;* #,##0.00_-;_-\$* \-????_-;_-@_-"/>
    <numFmt numFmtId="177" formatCode="_ \$* #,##0.00_ ;_ \$* \-#,##0.00_ ;_ \$* \-??_ ;_ @_ 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entury Gothic"/>
      <family val="1"/>
      <charset val="1"/>
    </font>
    <font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9" tint="0.7999"/>
        <bgColor rgb="FFEDEDED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theme="8" tint="0.7999"/>
        <bgColor rgb="FFEDEDED"/>
      </patternFill>
    </fill>
    <fill>
      <patternFill patternType="solid">
        <fgColor rgb="FFE8D8FF"/>
        <bgColor rgb="FFDEEBF7"/>
      </patternFill>
    </fill>
    <fill>
      <patternFill patternType="solid">
        <fgColor theme="9" tint="0.5999"/>
        <bgColor rgb="FFE2F0D9"/>
      </patternFill>
    </fill>
    <fill>
      <patternFill patternType="solid">
        <fgColor theme="6" tint="0.7999"/>
        <bgColor rgb="FFDEEBF7"/>
      </patternFill>
    </fill>
    <fill>
      <patternFill patternType="solid">
        <fgColor rgb="FFDBBDFF"/>
        <bgColor rgb="FFE8D8FF"/>
      </patternFill>
    </fill>
    <fill>
      <patternFill patternType="solid">
        <fgColor theme="0"/>
        <bgColor rgb="FFEDEDED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2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2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3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4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5" fillId="5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BBD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F99"/>
      <rgbColor rgb="FFE8D8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macbook/Downloads/IPHONE11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  <sheetName val="LIBRO DIARIO"/>
      <sheetName val="LIBRO MAYOR"/>
      <sheetName val="CÁLCULO"/>
      <sheetName val="KARDEX"/>
      <sheetName val="COMPROBACIÓN"/>
      <sheetName val="ROL DE PAGOS"/>
    </sheetNames>
    <sheetDataSet>
      <sheetData sheetId="0"/>
      <sheetData sheetId="1">
        <row r="15">
          <cell r="B15">
            <v>46027</v>
          </cell>
        </row>
        <row r="17">
          <cell r="G17">
            <v>14850</v>
          </cell>
        </row>
        <row r="20">
          <cell r="B20">
            <v>46028</v>
          </cell>
        </row>
        <row r="24">
          <cell r="G24">
            <v>5800</v>
          </cell>
        </row>
        <row r="26">
          <cell r="B26">
            <v>46030</v>
          </cell>
        </row>
        <row r="27">
          <cell r="F27">
            <v>83661.1111111111</v>
          </cell>
        </row>
        <row r="35">
          <cell r="F35">
            <v>81987.8888888889</v>
          </cell>
        </row>
        <row r="36">
          <cell r="G36">
            <v>81987.8888888889</v>
          </cell>
        </row>
        <row r="38">
          <cell r="B38">
            <v>46034</v>
          </cell>
        </row>
        <row r="40">
          <cell r="G40">
            <v>22000</v>
          </cell>
        </row>
        <row r="42">
          <cell r="B42">
            <v>46035</v>
          </cell>
        </row>
        <row r="43">
          <cell r="F43">
            <v>67500</v>
          </cell>
        </row>
        <row r="46">
          <cell r="B46">
            <v>46037</v>
          </cell>
        </row>
        <row r="47">
          <cell r="F47">
            <v>44624.0348583878</v>
          </cell>
        </row>
        <row r="53">
          <cell r="G53">
            <v>69725.0544662309</v>
          </cell>
        </row>
        <row r="55">
          <cell r="B55">
            <v>46052</v>
          </cell>
        </row>
        <row r="57">
          <cell r="G57">
            <v>1200</v>
          </cell>
        </row>
        <row r="59">
          <cell r="B59">
            <v>46052</v>
          </cell>
        </row>
        <row r="62">
          <cell r="G62">
            <v>5984.04599026144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R60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D47" activeCellId="0" sqref="D47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1" width="13.18"/>
    <col collapsed="false" customWidth="true" hidden="false" outlineLevel="0" max="3" min="3" style="1" width="16.83"/>
    <col collapsed="false" customWidth="true" hidden="false" outlineLevel="0" max="4" min="4" style="1" width="11.17"/>
  </cols>
  <sheetData>
    <row r="3" customFormat="false" ht="21" hidden="false" customHeight="true" outlineLevel="0" collapsed="false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.75" hidden="false" customHeight="false" outlineLevel="0" collapsed="false">
      <c r="B4" s="3"/>
      <c r="C4" s="4"/>
      <c r="D4" s="4"/>
      <c r="E4" s="4"/>
      <c r="F4" s="4"/>
      <c r="G4" s="4"/>
    </row>
    <row r="5" customFormat="false" ht="15.75" hidden="false" customHeight="true" outlineLevel="0" collapsed="false"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15.75" hidden="false" customHeight="false" outlineLevel="0" collapsed="false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5.75" hidden="false" customHeight="false" outlineLevel="0" collapsed="false">
      <c r="B7" s="3"/>
      <c r="C7" s="4"/>
      <c r="D7" s="4"/>
      <c r="E7" s="4"/>
      <c r="F7" s="4"/>
      <c r="G7" s="4"/>
    </row>
    <row r="8" customFormat="false" ht="15.75" hidden="false" customHeight="false" outlineLevel="0" collapsed="false">
      <c r="B8" s="6" t="s">
        <v>2</v>
      </c>
      <c r="C8" s="7" t="s">
        <v>3</v>
      </c>
      <c r="D8" s="7" t="s">
        <v>4</v>
      </c>
      <c r="E8" s="7" t="s">
        <v>5</v>
      </c>
      <c r="F8" s="7" t="s">
        <v>6</v>
      </c>
      <c r="G8" s="7" t="s">
        <v>7</v>
      </c>
    </row>
    <row r="9" customFormat="false" ht="15.75" hidden="false" customHeight="false" outlineLevel="0" collapsed="false">
      <c r="B9" s="3" t="s">
        <v>8</v>
      </c>
      <c r="C9" s="8" t="s">
        <v>9</v>
      </c>
      <c r="D9" s="8" t="n">
        <v>1</v>
      </c>
      <c r="E9" s="8" t="n">
        <v>2</v>
      </c>
      <c r="F9" s="8" t="n">
        <v>2</v>
      </c>
      <c r="G9" s="8" t="s">
        <v>10</v>
      </c>
    </row>
    <row r="10" customFormat="false" ht="15.75" hidden="false" customHeight="false" outlineLevel="0" collapsed="false">
      <c r="B10" s="3" t="s">
        <v>11</v>
      </c>
      <c r="C10" s="8" t="s">
        <v>12</v>
      </c>
      <c r="D10" s="8" t="n">
        <v>1</v>
      </c>
      <c r="E10" s="8" t="n">
        <v>2</v>
      </c>
      <c r="F10" s="8" t="n">
        <v>2</v>
      </c>
      <c r="G10" s="8" t="s">
        <v>13</v>
      </c>
    </row>
    <row r="11" customFormat="false" ht="15.75" hidden="false" customHeight="false" outlineLevel="0" collapsed="false">
      <c r="B11" s="3" t="s">
        <v>14</v>
      </c>
      <c r="C11" s="8" t="s">
        <v>15</v>
      </c>
      <c r="D11" s="8" t="n">
        <v>1</v>
      </c>
      <c r="E11" s="8" t="n">
        <v>2</v>
      </c>
      <c r="F11" s="8" t="n">
        <v>2</v>
      </c>
      <c r="G11" s="9" t="s">
        <v>16</v>
      </c>
      <c r="H11" s="10" t="n">
        <v>15</v>
      </c>
      <c r="I11" s="10" t="s">
        <v>17</v>
      </c>
      <c r="J11" s="10" t="s">
        <v>18</v>
      </c>
    </row>
    <row r="12" customFormat="false" ht="15.75" hidden="false" customHeight="false" outlineLevel="0" collapsed="false">
      <c r="B12" s="3" t="s">
        <v>19</v>
      </c>
      <c r="C12" s="11" t="n">
        <v>4.2</v>
      </c>
      <c r="D12" s="11" t="n">
        <v>0.5</v>
      </c>
      <c r="E12" s="11" t="n">
        <v>0.2</v>
      </c>
      <c r="F12" s="11" t="n">
        <v>0.05</v>
      </c>
      <c r="G12" s="11" t="n">
        <v>3</v>
      </c>
      <c r="H12" s="10" t="n">
        <f aca="false">C24*H11</f>
        <v>150000</v>
      </c>
      <c r="I12" s="10" t="n">
        <f aca="false">H12/5</f>
        <v>30000</v>
      </c>
      <c r="J12" s="10" t="n">
        <f aca="false">I12*3</f>
        <v>90000</v>
      </c>
    </row>
    <row r="13" customFormat="false" ht="15.75" hidden="false" customHeight="false" outlineLevel="0" collapsed="false">
      <c r="B13" s="3"/>
      <c r="C13" s="11"/>
      <c r="D13" s="11"/>
      <c r="E13" s="11"/>
      <c r="F13" s="11"/>
      <c r="G13" s="11"/>
    </row>
    <row r="14" customFormat="false" ht="15.75" hidden="false" customHeight="false" outlineLevel="0" collapsed="false">
      <c r="B14" s="3" t="s">
        <v>20</v>
      </c>
      <c r="C14" s="4"/>
      <c r="D14" s="4"/>
      <c r="E14" s="4"/>
      <c r="F14" s="4"/>
      <c r="G14" s="4"/>
    </row>
    <row r="15" customFormat="false" ht="15.75" hidden="false" customHeight="false" outlineLevel="0" collapsed="false">
      <c r="B15" s="6" t="s">
        <v>2</v>
      </c>
      <c r="C15" s="6" t="s">
        <v>3</v>
      </c>
      <c r="D15" s="7" t="s">
        <v>21</v>
      </c>
      <c r="E15" s="7" t="s">
        <v>5</v>
      </c>
      <c r="F15" s="7" t="s">
        <v>22</v>
      </c>
      <c r="G15" s="7" t="s">
        <v>7</v>
      </c>
    </row>
    <row r="16" customFormat="false" ht="15.75" hidden="false" customHeight="false" outlineLevel="0" collapsed="false">
      <c r="B16" s="4"/>
      <c r="C16" s="12" t="s">
        <v>23</v>
      </c>
      <c r="D16" s="8" t="n">
        <v>3000</v>
      </c>
      <c r="E16" s="8" t="n">
        <v>5000</v>
      </c>
      <c r="F16" s="8" t="n">
        <v>40000</v>
      </c>
      <c r="G16" s="8" t="s">
        <v>24</v>
      </c>
    </row>
    <row r="17" customFormat="false" ht="15.75" hidden="false" customHeight="false" outlineLevel="0" collapsed="false">
      <c r="B17" s="4"/>
      <c r="C17" s="12"/>
      <c r="D17" s="8"/>
      <c r="E17" s="8"/>
      <c r="F17" s="8"/>
      <c r="G17" s="8"/>
    </row>
    <row r="18" customFormat="false" ht="15.75" hidden="false" customHeight="false" outlineLevel="0" collapsed="false">
      <c r="B18" s="4"/>
      <c r="C18" s="12"/>
      <c r="D18" s="8"/>
      <c r="E18" s="8"/>
      <c r="F18" s="8"/>
      <c r="G18" s="8"/>
    </row>
    <row r="19" customFormat="false" ht="15.75" hidden="false" customHeight="false" outlineLevel="0" collapsed="false">
      <c r="B19" s="3" t="s">
        <v>25</v>
      </c>
      <c r="C19" s="4"/>
      <c r="D19" s="4"/>
      <c r="E19" s="4"/>
      <c r="F19" s="4"/>
      <c r="G19" s="4"/>
    </row>
    <row r="20" customFormat="false" ht="15.75" hidden="false" customHeight="false" outlineLevel="0" collapsed="false">
      <c r="B20" s="6" t="s">
        <v>2</v>
      </c>
      <c r="C20" s="6" t="s">
        <v>26</v>
      </c>
      <c r="D20" s="4"/>
      <c r="E20" s="4"/>
      <c r="F20" s="4"/>
      <c r="G20" s="4"/>
    </row>
    <row r="21" customFormat="false" ht="15.75" hidden="false" customHeight="false" outlineLevel="0" collapsed="false">
      <c r="B21" s="3" t="s">
        <v>8</v>
      </c>
      <c r="C21" s="8" t="n">
        <v>3000</v>
      </c>
      <c r="D21" s="4" t="n">
        <f aca="false">C21*80</f>
        <v>240000</v>
      </c>
      <c r="E21" s="4"/>
      <c r="F21" s="4"/>
      <c r="G21" s="4"/>
    </row>
    <row r="22" customFormat="false" ht="15.75" hidden="false" customHeight="false" outlineLevel="0" collapsed="false">
      <c r="B22" s="3" t="s">
        <v>11</v>
      </c>
      <c r="C22" s="8" t="n">
        <v>3700</v>
      </c>
      <c r="D22" s="4" t="n">
        <f aca="false">C22*90</f>
        <v>333000</v>
      </c>
      <c r="E22" s="4"/>
      <c r="F22" s="4"/>
      <c r="G22" s="4"/>
    </row>
    <row r="23" customFormat="false" ht="15.75" hidden="false" customHeight="false" outlineLevel="0" collapsed="false">
      <c r="B23" s="3" t="s">
        <v>14</v>
      </c>
      <c r="C23" s="8" t="n">
        <v>3300</v>
      </c>
      <c r="D23" s="4" t="n">
        <f aca="false">C23*110</f>
        <v>363000</v>
      </c>
      <c r="E23" s="4"/>
      <c r="F23" s="4"/>
      <c r="G23" s="4"/>
    </row>
    <row r="24" customFormat="false" ht="15.75" hidden="false" customHeight="false" outlineLevel="0" collapsed="false">
      <c r="B24" s="3"/>
      <c r="C24" s="8" t="n">
        <v>10000</v>
      </c>
      <c r="D24" s="4" t="n">
        <f aca="false">SUM(D21:D23)</f>
        <v>936000</v>
      </c>
      <c r="E24" s="4"/>
      <c r="F24" s="13" t="s">
        <v>27</v>
      </c>
      <c r="G24" s="4"/>
    </row>
    <row r="25" customFormat="false" ht="15.75" hidden="false" customHeight="false" outlineLevel="0" collapsed="false">
      <c r="B25" s="3"/>
      <c r="C25" s="14" t="s">
        <v>28</v>
      </c>
      <c r="D25" s="9" t="n">
        <f aca="false">D24/100</f>
        <v>9360</v>
      </c>
      <c r="E25" s="9" t="n">
        <f aca="false">D25/5</f>
        <v>1872</v>
      </c>
      <c r="F25" s="9" t="n">
        <f aca="false">E25*3</f>
        <v>5616</v>
      </c>
      <c r="G25" s="4"/>
    </row>
    <row r="26" customFormat="false" ht="15.75" hidden="false" customHeight="false" outlineLevel="0" collapsed="false">
      <c r="B26" s="3"/>
      <c r="C26" s="8"/>
      <c r="D26" s="4"/>
      <c r="E26" s="4"/>
      <c r="F26" s="4"/>
      <c r="G26" s="4"/>
    </row>
    <row r="27" customFormat="false" ht="15.75" hidden="false" customHeight="false" outlineLevel="0" collapsed="false">
      <c r="B27" s="3"/>
      <c r="C27" s="8"/>
      <c r="D27" s="4"/>
      <c r="E27" s="4"/>
      <c r="F27" s="4"/>
      <c r="G27" s="4"/>
    </row>
    <row r="28" customFormat="false" ht="15.75" hidden="false" customHeight="true" outlineLevel="0" collapsed="false">
      <c r="B28" s="2" t="s">
        <v>29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5.75" hidden="false" customHeight="true" outlineLevel="0" collapsed="false">
      <c r="B29" s="15" t="s">
        <v>30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customFormat="false" ht="15.75" hidden="false" customHeight="true" outlineLevel="0" collapsed="false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customFormat="false" ht="15.75" hidden="false" customHeight="true" outlineLevel="0" collapsed="false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customFormat="false" ht="15.75" hidden="false" customHeight="true" outlineLevel="0" collapsed="false">
      <c r="B32" s="17" t="s">
        <v>31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customFormat="false" ht="15.75" hidden="false" customHeight="false" outlineLevel="0" collapsed="false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customFormat="false" ht="15.75" hidden="false" customHeight="false" outlineLevel="0" collapsed="false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customFormat="false" ht="15.75" hidden="false" customHeight="true" outlineLevel="0" collapsed="false">
      <c r="B35" s="18" t="s">
        <v>32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customFormat="false" ht="15.75" hidden="false" customHeight="false" outlineLevel="0" collapsed="false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customFormat="false" ht="15.75" hidden="false" customHeight="false" outlineLevel="0" collapsed="false">
      <c r="B37" s="3"/>
      <c r="C37" s="4"/>
      <c r="D37" s="4"/>
      <c r="E37" s="4"/>
      <c r="F37" s="4"/>
      <c r="G37" s="4"/>
    </row>
    <row r="38" customFormat="false" ht="15.75" hidden="false" customHeight="false" outlineLevel="0" collapsed="false">
      <c r="B38" s="3"/>
      <c r="C38" s="4"/>
      <c r="D38" s="4"/>
      <c r="E38" s="4"/>
      <c r="F38" s="4"/>
      <c r="G38" s="4"/>
    </row>
    <row r="39" customFormat="false" ht="15.75" hidden="false" customHeight="false" outlineLevel="0" collapsed="false">
      <c r="B39" s="19" t="s">
        <v>33</v>
      </c>
      <c r="C39" s="20"/>
      <c r="D39" s="20"/>
      <c r="E39" s="20"/>
      <c r="F39" s="20"/>
      <c r="G39" s="20"/>
      <c r="H39" s="21"/>
    </row>
    <row r="40" customFormat="false" ht="15.75" hidden="false" customHeight="false" outlineLevel="0" collapsed="false">
      <c r="B40" s="3"/>
      <c r="C40" s="4"/>
      <c r="D40" s="4"/>
      <c r="E40" s="4"/>
      <c r="F40" s="4"/>
      <c r="G40" s="4"/>
    </row>
    <row r="41" customFormat="false" ht="15.75" hidden="false" customHeight="false" outlineLevel="0" collapsed="false">
      <c r="B41" s="3" t="s">
        <v>34</v>
      </c>
      <c r="C41" s="4"/>
      <c r="D41" s="4"/>
      <c r="E41" s="4"/>
      <c r="F41" s="4"/>
      <c r="G41" s="4"/>
    </row>
    <row r="42" customFormat="false" ht="15.75" hidden="false" customHeight="false" outlineLevel="0" collapsed="false">
      <c r="B42" s="3"/>
      <c r="C42" s="4"/>
      <c r="D42" s="4"/>
      <c r="E42" s="4"/>
      <c r="F42" s="4"/>
      <c r="G42" s="4"/>
    </row>
    <row r="43" customFormat="false" ht="15.75" hidden="false" customHeight="false" outlineLevel="0" collapsed="false">
      <c r="B43" s="6" t="s">
        <v>2</v>
      </c>
      <c r="C43" s="6" t="s">
        <v>26</v>
      </c>
      <c r="D43" s="4"/>
      <c r="E43" s="4"/>
      <c r="F43" s="4"/>
      <c r="G43" s="4"/>
    </row>
    <row r="44" customFormat="false" ht="15.75" hidden="false" customHeight="false" outlineLevel="0" collapsed="false">
      <c r="B44" s="3" t="s">
        <v>8</v>
      </c>
      <c r="C44" s="8" t="n">
        <v>4000</v>
      </c>
      <c r="D44" s="4"/>
      <c r="E44" s="4"/>
      <c r="F44" s="4"/>
      <c r="G44" s="4"/>
    </row>
    <row r="45" customFormat="false" ht="15.75" hidden="false" customHeight="false" outlineLevel="0" collapsed="false">
      <c r="B45" s="3" t="s">
        <v>11</v>
      </c>
      <c r="C45" s="8" t="n">
        <v>6000</v>
      </c>
      <c r="D45" s="4"/>
      <c r="E45" s="4"/>
      <c r="F45" s="4"/>
      <c r="G45" s="4"/>
    </row>
    <row r="46" customFormat="false" ht="15.75" hidden="false" customHeight="false" outlineLevel="0" collapsed="false">
      <c r="B46" s="3" t="s">
        <v>14</v>
      </c>
      <c r="C46" s="8" t="n">
        <v>5000</v>
      </c>
      <c r="D46" s="4" t="n">
        <f aca="false">C44+C45+C46</f>
        <v>15000</v>
      </c>
      <c r="E46" s="4"/>
      <c r="F46" s="4"/>
      <c r="G46" s="4"/>
    </row>
    <row r="47" customFormat="false" ht="15.75" hidden="false" customHeight="false" outlineLevel="0" collapsed="false">
      <c r="B47" s="3"/>
      <c r="C47" s="8"/>
      <c r="D47" s="4"/>
      <c r="E47" s="4"/>
      <c r="F47" s="4"/>
      <c r="G47" s="4"/>
    </row>
    <row r="48" customFormat="false" ht="15.75" hidden="false" customHeight="false" outlineLevel="0" collapsed="false">
      <c r="B48" s="3" t="s">
        <v>35</v>
      </c>
      <c r="C48" s="4"/>
      <c r="D48" s="4"/>
      <c r="E48" s="4"/>
      <c r="F48" s="4"/>
      <c r="G48" s="4"/>
    </row>
    <row r="49" customFormat="false" ht="15.75" hidden="false" customHeight="false" outlineLevel="0" collapsed="false">
      <c r="B49" s="3" t="s">
        <v>36</v>
      </c>
      <c r="C49" s="4"/>
      <c r="D49" s="4"/>
      <c r="E49" s="4"/>
      <c r="F49" s="4"/>
      <c r="G49" s="4"/>
    </row>
    <row r="50" customFormat="false" ht="15.75" hidden="false" customHeight="false" outlineLevel="0" collapsed="false">
      <c r="B50" s="3" t="s">
        <v>37</v>
      </c>
      <c r="C50" s="4"/>
      <c r="D50" s="4"/>
      <c r="E50" s="4"/>
      <c r="F50" s="4"/>
      <c r="G50" s="4"/>
    </row>
    <row r="51" customFormat="false" ht="15.75" hidden="false" customHeight="false" outlineLevel="0" collapsed="false">
      <c r="B51" s="6" t="s">
        <v>2</v>
      </c>
      <c r="C51" s="6" t="s">
        <v>26</v>
      </c>
      <c r="D51" s="4"/>
      <c r="E51" s="4"/>
      <c r="F51" s="4"/>
      <c r="G51" s="4"/>
    </row>
    <row r="52" customFormat="false" ht="15.75" hidden="false" customHeight="false" outlineLevel="0" collapsed="false">
      <c r="B52" s="3" t="s">
        <v>8</v>
      </c>
      <c r="C52" s="8" t="n">
        <v>5000</v>
      </c>
      <c r="D52" s="4"/>
      <c r="E52" s="4"/>
      <c r="F52" s="4"/>
      <c r="G52" s="4"/>
    </row>
    <row r="53" customFormat="false" ht="15.75" hidden="false" customHeight="false" outlineLevel="0" collapsed="false">
      <c r="B53" s="3" t="s">
        <v>11</v>
      </c>
      <c r="C53" s="8" t="n">
        <v>6000</v>
      </c>
      <c r="D53" s="4"/>
      <c r="E53" s="4"/>
      <c r="F53" s="4"/>
      <c r="G53" s="4"/>
    </row>
    <row r="54" customFormat="false" ht="15.75" hidden="false" customHeight="false" outlineLevel="0" collapsed="false">
      <c r="B54" s="3" t="s">
        <v>14</v>
      </c>
      <c r="C54" s="8" t="n">
        <v>9000</v>
      </c>
      <c r="D54" s="4"/>
      <c r="E54" s="4"/>
      <c r="F54" s="4"/>
      <c r="G54" s="4"/>
    </row>
    <row r="55" customFormat="false" ht="15.75" hidden="false" customHeight="false" outlineLevel="0" collapsed="false">
      <c r="B55" s="3"/>
      <c r="C55" s="8"/>
      <c r="D55" s="4" t="n">
        <f aca="false">C52+C53+C54</f>
        <v>20000</v>
      </c>
      <c r="E55" s="4"/>
      <c r="F55" s="4"/>
      <c r="G55" s="4"/>
    </row>
    <row r="56" customFormat="false" ht="15.75" hidden="false" customHeight="false" outlineLevel="0" collapsed="false">
      <c r="B56" s="3" t="s">
        <v>38</v>
      </c>
      <c r="C56" s="4"/>
      <c r="D56" s="4"/>
      <c r="E56" s="4"/>
      <c r="F56" s="4"/>
      <c r="G56" s="4"/>
    </row>
    <row r="57" customFormat="false" ht="15.75" hidden="false" customHeight="false" outlineLevel="0" collapsed="false">
      <c r="B57" s="4" t="s">
        <v>39</v>
      </c>
      <c r="C57" s="4"/>
      <c r="D57" s="4"/>
      <c r="E57" s="4"/>
      <c r="F57" s="4"/>
      <c r="G57" s="4"/>
    </row>
    <row r="60" customFormat="false" ht="15.75" hidden="false" customHeight="false" outlineLevel="0" collapsed="false">
      <c r="B60" s="1" t="s">
        <v>40</v>
      </c>
    </row>
  </sheetData>
  <mergeCells count="6">
    <mergeCell ref="B3:O3"/>
    <mergeCell ref="B5:Q6"/>
    <mergeCell ref="B28:R28"/>
    <mergeCell ref="B29:Q30"/>
    <mergeCell ref="B32:Q33"/>
    <mergeCell ref="B35:Q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9"/>
  <sheetViews>
    <sheetView showFormulas="false" showGridLines="true" showRowColHeaders="true" showZeros="true" rightToLeft="false" tabSelected="true" showOutlineSymbols="true" defaultGridColor="true" view="normal" topLeftCell="A133" colorId="64" zoomScale="93" zoomScaleNormal="93" zoomScalePageLayoutView="100" workbookViewId="0">
      <selection pane="topLeft" activeCell="F144" activeCellId="0" sqref="F144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1" width="8.33"/>
    <col collapsed="false" customWidth="true" hidden="false" outlineLevel="0" max="3" min="3" style="1" width="49.33"/>
    <col collapsed="false" customWidth="true" hidden="false" outlineLevel="0" max="4" min="4" style="1" width="5.51"/>
    <col collapsed="false" customWidth="true" hidden="false" outlineLevel="0" max="6" min="6" style="1" width="14.33"/>
    <col collapsed="false" customWidth="true" hidden="false" outlineLevel="0" max="7" min="7" style="1" width="14.82"/>
  </cols>
  <sheetData>
    <row r="2" customFormat="false" ht="15.75" hidden="false" customHeight="false" outlineLevel="0" collapsed="false">
      <c r="B2" s="22" t="s">
        <v>41</v>
      </c>
      <c r="C2" s="22"/>
      <c r="D2" s="22"/>
      <c r="E2" s="22"/>
      <c r="F2" s="22"/>
      <c r="G2" s="22"/>
    </row>
    <row r="3" customFormat="false" ht="15.75" hidden="false" customHeight="false" outlineLevel="0" collapsed="false">
      <c r="B3" s="22" t="s">
        <v>42</v>
      </c>
      <c r="C3" s="22"/>
      <c r="D3" s="22"/>
      <c r="E3" s="22"/>
      <c r="F3" s="22"/>
      <c r="G3" s="22"/>
    </row>
    <row r="4" customFormat="false" ht="15.75" hidden="false" customHeight="false" outlineLevel="0" collapsed="false">
      <c r="B4" s="23"/>
      <c r="C4" s="23"/>
      <c r="D4" s="23"/>
      <c r="E4" s="23"/>
      <c r="F4" s="23"/>
      <c r="G4" s="23"/>
    </row>
    <row r="5" customFormat="false" ht="15.75" hidden="false" customHeight="false" outlineLevel="0" collapsed="false">
      <c r="B5" s="23"/>
      <c r="C5" s="23"/>
      <c r="D5" s="23"/>
      <c r="E5" s="23"/>
      <c r="F5" s="23" t="s">
        <v>43</v>
      </c>
      <c r="G5" s="24" t="n">
        <v>1</v>
      </c>
    </row>
    <row r="6" customFormat="false" ht="15.75" hidden="false" customHeight="false" outlineLevel="0" collapsed="false">
      <c r="B6" s="25" t="s">
        <v>44</v>
      </c>
      <c r="C6" s="25" t="s">
        <v>45</v>
      </c>
      <c r="D6" s="25" t="s">
        <v>46</v>
      </c>
      <c r="E6" s="25" t="s">
        <v>47</v>
      </c>
      <c r="F6" s="26" t="s">
        <v>48</v>
      </c>
      <c r="G6" s="25" t="s">
        <v>49</v>
      </c>
    </row>
    <row r="7" customFormat="false" ht="15.75" hidden="false" customHeight="false" outlineLevel="0" collapsed="false">
      <c r="B7" s="27" t="n">
        <v>46027</v>
      </c>
      <c r="C7" s="28" t="s">
        <v>50</v>
      </c>
      <c r="D7" s="25"/>
      <c r="E7" s="25"/>
      <c r="F7" s="25"/>
      <c r="G7" s="25"/>
    </row>
    <row r="8" customFormat="false" ht="15.75" hidden="false" customHeight="false" outlineLevel="0" collapsed="false">
      <c r="B8" s="29"/>
      <c r="C8" s="25" t="s">
        <v>51</v>
      </c>
      <c r="D8" s="25" t="n">
        <v>1</v>
      </c>
      <c r="E8" s="25"/>
      <c r="F8" s="30" t="n">
        <v>80000</v>
      </c>
      <c r="G8" s="29"/>
    </row>
    <row r="9" customFormat="false" ht="15.75" hidden="false" customHeight="false" outlineLevel="0" collapsed="false">
      <c r="B9" s="29"/>
      <c r="C9" s="25" t="s">
        <v>52</v>
      </c>
      <c r="D9" s="25" t="n">
        <v>2</v>
      </c>
      <c r="E9" s="25"/>
      <c r="F9" s="30" t="n">
        <f aca="false">KARDEX!L9+KARDEX!L25+KARDEX!L41+KARDEX!L57</f>
        <v>23400</v>
      </c>
      <c r="G9" s="29"/>
    </row>
    <row r="10" customFormat="false" ht="15.75" hidden="false" customHeight="false" outlineLevel="0" collapsed="false">
      <c r="B10" s="29"/>
      <c r="C10" s="25" t="s">
        <v>53</v>
      </c>
      <c r="D10" s="25" t="n">
        <v>3</v>
      </c>
      <c r="E10" s="25"/>
      <c r="F10" s="30" t="n">
        <f aca="false">KARDEX!L73</f>
        <v>300</v>
      </c>
      <c r="G10" s="29"/>
    </row>
    <row r="11" customFormat="false" ht="15.75" hidden="false" customHeight="false" outlineLevel="0" collapsed="false">
      <c r="B11" s="29"/>
      <c r="C11" s="25" t="s">
        <v>54</v>
      </c>
      <c r="D11" s="25" t="n">
        <v>4</v>
      </c>
      <c r="E11" s="25"/>
      <c r="F11" s="30" t="n">
        <v>70000</v>
      </c>
      <c r="G11" s="29"/>
    </row>
    <row r="12" customFormat="false" ht="15.75" hidden="false" customHeight="false" outlineLevel="0" collapsed="false">
      <c r="B12" s="29"/>
      <c r="C12" s="29" t="s">
        <v>55</v>
      </c>
      <c r="D12" s="29" t="n">
        <v>5</v>
      </c>
      <c r="E12" s="29"/>
      <c r="F12" s="29"/>
      <c r="G12" s="31" t="n">
        <v>15000</v>
      </c>
    </row>
    <row r="13" customFormat="false" ht="15.75" hidden="false" customHeight="false" outlineLevel="0" collapsed="false">
      <c r="B13" s="29"/>
      <c r="C13" s="29" t="s">
        <v>56</v>
      </c>
      <c r="D13" s="29" t="n">
        <v>6</v>
      </c>
      <c r="E13" s="29"/>
      <c r="F13" s="29"/>
      <c r="G13" s="32" t="n">
        <f aca="false">(F8+F9+F10+F11)-G12</f>
        <v>158700</v>
      </c>
    </row>
    <row r="14" customFormat="false" ht="15.75" hidden="false" customHeight="false" outlineLevel="0" collapsed="false">
      <c r="B14" s="29"/>
      <c r="C14" s="33" t="s">
        <v>57</v>
      </c>
      <c r="D14" s="29"/>
      <c r="E14" s="29"/>
      <c r="F14" s="29"/>
      <c r="G14" s="29"/>
    </row>
    <row r="15" customFormat="false" ht="15.75" hidden="false" customHeight="false" outlineLevel="0" collapsed="false">
      <c r="B15" s="27" t="n">
        <v>46027</v>
      </c>
      <c r="C15" s="28" t="s">
        <v>58</v>
      </c>
      <c r="D15" s="25"/>
      <c r="E15" s="25"/>
      <c r="F15" s="25"/>
      <c r="G15" s="25"/>
    </row>
    <row r="16" customFormat="false" ht="15.75" hidden="false" customHeight="false" outlineLevel="0" collapsed="false">
      <c r="B16" s="25"/>
      <c r="C16" s="25" t="s">
        <v>52</v>
      </c>
      <c r="D16" s="25" t="n">
        <v>2</v>
      </c>
      <c r="E16" s="25"/>
      <c r="F16" s="30" t="n">
        <f aca="false">KARDEX!F10+KARDEX!F26+KARDEX!F42+KARDEX!F58</f>
        <v>88447.92</v>
      </c>
      <c r="G16" s="25"/>
    </row>
    <row r="17" customFormat="false" ht="15.75" hidden="false" customHeight="false" outlineLevel="0" collapsed="false">
      <c r="B17" s="25"/>
      <c r="C17" s="25" t="s">
        <v>52</v>
      </c>
      <c r="D17" s="25" t="n">
        <v>3</v>
      </c>
      <c r="E17" s="25"/>
      <c r="F17" s="25" t="n">
        <f aca="false">KARDEX!F75</f>
        <v>0</v>
      </c>
      <c r="G17" s="25"/>
    </row>
    <row r="18" customFormat="false" ht="15.75" hidden="false" customHeight="false" outlineLevel="0" collapsed="false">
      <c r="B18" s="25"/>
      <c r="C18" s="25" t="s">
        <v>55</v>
      </c>
      <c r="D18" s="25" t="n">
        <v>5</v>
      </c>
      <c r="E18" s="25"/>
      <c r="F18" s="25"/>
      <c r="G18" s="34" t="n">
        <f aca="false">F16+F17</f>
        <v>88447.92</v>
      </c>
    </row>
    <row r="19" customFormat="false" ht="15.75" hidden="false" customHeight="false" outlineLevel="0" collapsed="false">
      <c r="B19" s="25"/>
      <c r="C19" s="33" t="s">
        <v>59</v>
      </c>
      <c r="D19" s="25"/>
      <c r="E19" s="25"/>
      <c r="F19" s="25"/>
      <c r="G19" s="25"/>
    </row>
    <row r="20" customFormat="false" ht="15.75" hidden="false" customHeight="false" outlineLevel="0" collapsed="false">
      <c r="B20" s="27" t="n">
        <v>46027</v>
      </c>
      <c r="C20" s="28" t="s">
        <v>60</v>
      </c>
      <c r="D20" s="29"/>
      <c r="E20" s="29"/>
      <c r="F20" s="29"/>
      <c r="G20" s="29"/>
    </row>
    <row r="21" customFormat="false" ht="15.75" hidden="false" customHeight="false" outlineLevel="0" collapsed="false">
      <c r="B21" s="29"/>
      <c r="C21" s="25" t="s">
        <v>61</v>
      </c>
      <c r="D21" s="25" t="n">
        <v>7</v>
      </c>
      <c r="E21" s="25"/>
      <c r="F21" s="34" t="n">
        <f aca="false">KARDEX!I11+KARDEX!I27+KARDEX!I43+KARDEX!I59+KARDEX!I75</f>
        <v>18807.5297800191</v>
      </c>
      <c r="G21" s="25"/>
    </row>
    <row r="22" customFormat="false" ht="15.75" hidden="false" customHeight="false" outlineLevel="0" collapsed="false">
      <c r="B22" s="29"/>
      <c r="C22" s="25" t="s">
        <v>62</v>
      </c>
      <c r="D22" s="25" t="n">
        <v>8</v>
      </c>
      <c r="E22" s="25"/>
      <c r="F22" s="34" t="n">
        <f aca="false">KARDEX!I12+KARDEX!I28+KARDEX!I44+KARDEX!I60+KARDEX!I76</f>
        <v>30931.7779323537</v>
      </c>
      <c r="G22" s="25"/>
    </row>
    <row r="23" customFormat="false" ht="15.75" hidden="false" customHeight="false" outlineLevel="0" collapsed="false">
      <c r="B23" s="29"/>
      <c r="C23" s="25" t="s">
        <v>63</v>
      </c>
      <c r="D23" s="25" t="n">
        <v>9</v>
      </c>
      <c r="E23" s="25"/>
      <c r="F23" s="34" t="n">
        <f aca="false">KARDEX!I13+KARDEX!I29+KARDEX!I45+KARDEX!I61+KARDEX!I77</f>
        <v>30305.6203808365</v>
      </c>
      <c r="G23" s="25"/>
    </row>
    <row r="24" customFormat="false" ht="15.75" hidden="false" customHeight="false" outlineLevel="0" collapsed="false">
      <c r="B24" s="29"/>
      <c r="C24" s="25" t="s">
        <v>64</v>
      </c>
      <c r="D24" s="25" t="n">
        <v>2</v>
      </c>
      <c r="E24" s="25"/>
      <c r="F24" s="25"/>
      <c r="G24" s="34" t="n">
        <f aca="false">KARDEX!I11+KARDEX!I12+KARDEX!I13+KARDEX!I27+KARDEX!I28+KARDEX!I30+KARDEX!I43+KARDEX!I44+KARDEX!I45+KARDEX!I59+KARDEX!I60+KARDEX!I61</f>
        <v>77254.6423789236</v>
      </c>
    </row>
    <row r="25" customFormat="false" ht="15.75" hidden="false" customHeight="false" outlineLevel="0" collapsed="false">
      <c r="B25" s="29"/>
      <c r="C25" s="25" t="s">
        <v>65</v>
      </c>
      <c r="D25" s="25" t="n">
        <v>3</v>
      </c>
      <c r="E25" s="25"/>
      <c r="F25" s="25"/>
      <c r="G25" s="34" t="n">
        <f aca="false">KARDEX!I75+KARDEX!I76+KARDEX!I77</f>
        <v>76</v>
      </c>
    </row>
    <row r="26" customFormat="false" ht="15.75" hidden="false" customHeight="false" outlineLevel="0" collapsed="false">
      <c r="B26" s="29"/>
      <c r="C26" s="33" t="s">
        <v>66</v>
      </c>
      <c r="D26" s="25"/>
      <c r="E26" s="25"/>
      <c r="F26" s="25"/>
      <c r="G26" s="25"/>
    </row>
    <row r="27" customFormat="false" ht="15.75" hidden="false" customHeight="false" outlineLevel="0" collapsed="false">
      <c r="B27" s="35" t="n">
        <v>46031</v>
      </c>
      <c r="C27" s="36" t="s">
        <v>67</v>
      </c>
      <c r="D27" s="37"/>
      <c r="E27" s="37"/>
      <c r="F27" s="37"/>
      <c r="G27" s="37"/>
    </row>
    <row r="28" customFormat="false" ht="15.75" hidden="false" customHeight="false" outlineLevel="0" collapsed="false">
      <c r="B28" s="25"/>
      <c r="C28" s="25" t="s">
        <v>68</v>
      </c>
      <c r="D28" s="25" t="n">
        <v>10</v>
      </c>
      <c r="E28" s="25"/>
      <c r="F28" s="30" t="n">
        <f aca="false">('ROL MOD'!G35+'ROL MOD'!H35+'ROL MOD'!I35+'ROL MOD'!J35+'ROL MOD'!K35+'ROL MOD'!L35+'ROL MOD'!F77+'ROL MOD'!G77+'ROL MOD'!H77+'ROL MOD'!I77+'ROL MOD'!J77)/4</f>
        <v>5598.27184375</v>
      </c>
      <c r="G28" s="30"/>
    </row>
    <row r="29" customFormat="false" ht="15.75" hidden="false" customHeight="false" outlineLevel="0" collapsed="false">
      <c r="B29" s="25"/>
      <c r="C29" s="25" t="s">
        <v>69</v>
      </c>
      <c r="D29" s="25" t="n">
        <v>11</v>
      </c>
      <c r="E29" s="25"/>
      <c r="F29" s="30" t="n">
        <f aca="false">('ROL MOD'!G41+'ROL MOD'!H41+'ROL MOD'!I41+'ROL MOD'!J41+'ROL MOD'!K41+'ROL MOD'!L41+'ROL MOD'!F83+'ROL MOD'!G83+'ROL MOD'!H83+'ROL MOD'!I83+'ROL MOD'!J83)/4</f>
        <v>583.807994791667</v>
      </c>
      <c r="G29" s="30"/>
    </row>
    <row r="30" customFormat="false" ht="15.75" hidden="false" customHeight="false" outlineLevel="0" collapsed="false">
      <c r="B30" s="25"/>
      <c r="C30" s="25" t="s">
        <v>70</v>
      </c>
      <c r="D30" s="25" t="n">
        <v>12</v>
      </c>
      <c r="E30" s="25"/>
      <c r="F30" s="30"/>
      <c r="G30" s="30" t="n">
        <f aca="false">('ROL MOD'!N35+'ROL MOD'!N41+'ROL MOD'!J77+'ROL MOD'!J83)/4</f>
        <v>979.76925</v>
      </c>
    </row>
    <row r="31" customFormat="false" ht="15.75" hidden="false" customHeight="false" outlineLevel="0" collapsed="false">
      <c r="B31" s="25"/>
      <c r="C31" s="25" t="s">
        <v>71</v>
      </c>
      <c r="D31" s="25" t="n">
        <v>13</v>
      </c>
      <c r="E31" s="25"/>
      <c r="F31" s="30"/>
      <c r="G31" s="30" t="n">
        <f aca="false">('ROL MOD'!F77+'ROL MOD'!F83)/4</f>
        <v>377.997395833333</v>
      </c>
    </row>
    <row r="32" customFormat="false" ht="15.75" hidden="false" customHeight="false" outlineLevel="0" collapsed="false">
      <c r="B32" s="25"/>
      <c r="C32" s="25" t="s">
        <v>72</v>
      </c>
      <c r="D32" s="25" t="n">
        <v>14</v>
      </c>
      <c r="E32" s="25"/>
      <c r="F32" s="30"/>
      <c r="G32" s="30" t="n">
        <f aca="false">('ROL MOD'!G77+'ROL MOD'!G83)/4</f>
        <v>321.333333333333</v>
      </c>
    </row>
    <row r="33" customFormat="false" ht="15.75" hidden="false" customHeight="false" outlineLevel="0" collapsed="false">
      <c r="B33" s="25"/>
      <c r="C33" s="25" t="s">
        <v>73</v>
      </c>
      <c r="D33" s="25" t="n">
        <v>15</v>
      </c>
      <c r="E33" s="25"/>
      <c r="F33" s="30"/>
      <c r="G33" s="30" t="n">
        <f aca="false">('ROL MOD'!H77+'ROL MOD'!H83)/4</f>
        <v>188.998697916667</v>
      </c>
    </row>
    <row r="34" customFormat="false" ht="15.75" hidden="false" customHeight="false" outlineLevel="0" collapsed="false">
      <c r="B34" s="25"/>
      <c r="C34" s="25" t="s">
        <v>74</v>
      </c>
      <c r="D34" s="25" t="n">
        <v>1</v>
      </c>
      <c r="E34" s="25"/>
      <c r="F34" s="30"/>
      <c r="G34" s="30" t="n">
        <f aca="false">('ROL MOD'!S35+'ROL MOD'!S41)/4</f>
        <v>4313.98116145833</v>
      </c>
    </row>
    <row r="35" customFormat="false" ht="15.75" hidden="false" customHeight="false" outlineLevel="0" collapsed="false">
      <c r="B35" s="25"/>
      <c r="C35" s="33" t="s">
        <v>75</v>
      </c>
      <c r="D35" s="25"/>
      <c r="E35" s="25"/>
      <c r="F35" s="25"/>
      <c r="G35" s="25"/>
    </row>
    <row r="36" customFormat="false" ht="15.75" hidden="false" customHeight="false" outlineLevel="0" collapsed="false">
      <c r="B36" s="27" t="n">
        <f aca="false">B27</f>
        <v>46031</v>
      </c>
      <c r="C36" s="28" t="s">
        <v>76</v>
      </c>
      <c r="D36" s="25"/>
      <c r="E36" s="25"/>
      <c r="F36" s="25"/>
      <c r="G36" s="25"/>
    </row>
    <row r="37" customFormat="false" ht="15.75" hidden="false" customHeight="false" outlineLevel="0" collapsed="false">
      <c r="B37" s="25"/>
      <c r="C37" s="25" t="s">
        <v>61</v>
      </c>
      <c r="D37" s="25" t="n">
        <v>7</v>
      </c>
      <c r="E37" s="25"/>
      <c r="F37" s="34" t="n">
        <f aca="false">(G40*25%)+(G41*25%)</f>
        <v>1545.51995963542</v>
      </c>
      <c r="G37" s="25"/>
    </row>
    <row r="38" customFormat="false" ht="15.75" hidden="false" customHeight="false" outlineLevel="0" collapsed="false">
      <c r="B38" s="25"/>
      <c r="C38" s="25" t="s">
        <v>62</v>
      </c>
      <c r="D38" s="25" t="n">
        <v>8</v>
      </c>
      <c r="E38" s="25"/>
      <c r="F38" s="34" t="n">
        <f aca="false">(G40*40%)+(G41*40%)</f>
        <v>2472.83193541667</v>
      </c>
      <c r="G38" s="25"/>
    </row>
    <row r="39" customFormat="false" ht="15.75" hidden="false" customHeight="false" outlineLevel="0" collapsed="false">
      <c r="B39" s="25"/>
      <c r="C39" s="25" t="s">
        <v>63</v>
      </c>
      <c r="D39" s="25" t="n">
        <v>9</v>
      </c>
      <c r="E39" s="25"/>
      <c r="F39" s="34" t="n">
        <f aca="false">(G40*35%)+(G41*35%)</f>
        <v>2163.72794348958</v>
      </c>
      <c r="G39" s="25"/>
    </row>
    <row r="40" customFormat="false" ht="15.75" hidden="false" customHeight="false" outlineLevel="0" collapsed="false">
      <c r="B40" s="25"/>
      <c r="C40" s="25" t="s">
        <v>77</v>
      </c>
      <c r="D40" s="25"/>
      <c r="E40" s="25"/>
      <c r="F40" s="25"/>
      <c r="G40" s="34" t="n">
        <f aca="false">F28</f>
        <v>5598.27184375</v>
      </c>
    </row>
    <row r="41" customFormat="false" ht="15.75" hidden="false" customHeight="false" outlineLevel="0" collapsed="false">
      <c r="B41" s="25"/>
      <c r="C41" s="25" t="s">
        <v>78</v>
      </c>
      <c r="D41" s="25"/>
      <c r="E41" s="25"/>
      <c r="F41" s="25"/>
      <c r="G41" s="34" t="n">
        <f aca="false">F29</f>
        <v>583.807994791667</v>
      </c>
    </row>
    <row r="42" customFormat="false" ht="15.75" hidden="false" customHeight="false" outlineLevel="0" collapsed="false">
      <c r="B42" s="25"/>
      <c r="C42" s="33" t="s">
        <v>79</v>
      </c>
      <c r="D42" s="25"/>
      <c r="E42" s="25"/>
      <c r="F42" s="25"/>
      <c r="G42" s="25"/>
    </row>
    <row r="43" customFormat="false" ht="15.75" hidden="false" customHeight="false" outlineLevel="0" collapsed="false">
      <c r="B43" s="27" t="n">
        <v>46036</v>
      </c>
      <c r="C43" s="28" t="s">
        <v>80</v>
      </c>
      <c r="D43" s="25"/>
      <c r="E43" s="25"/>
      <c r="F43" s="25"/>
      <c r="G43" s="25"/>
    </row>
    <row r="44" customFormat="false" ht="15.75" hidden="false" customHeight="false" outlineLevel="0" collapsed="false">
      <c r="B44" s="25"/>
      <c r="C44" s="25" t="s">
        <v>68</v>
      </c>
      <c r="D44" s="25" t="n">
        <v>10</v>
      </c>
      <c r="E44" s="25"/>
      <c r="F44" s="30" t="n">
        <f aca="false">(F28/5)*3</f>
        <v>3358.96310625</v>
      </c>
      <c r="G44" s="30"/>
    </row>
    <row r="45" customFormat="false" ht="15.75" hidden="false" customHeight="false" outlineLevel="0" collapsed="false">
      <c r="B45" s="25"/>
      <c r="C45" s="25" t="s">
        <v>69</v>
      </c>
      <c r="D45" s="25" t="n">
        <v>11</v>
      </c>
      <c r="E45" s="25"/>
      <c r="F45" s="30" t="n">
        <f aca="false">(F29/5)*3</f>
        <v>350.284796875</v>
      </c>
      <c r="G45" s="30"/>
    </row>
    <row r="46" customFormat="false" ht="15.75" hidden="false" customHeight="false" outlineLevel="0" collapsed="false">
      <c r="B46" s="25"/>
      <c r="C46" s="25" t="s">
        <v>70</v>
      </c>
      <c r="D46" s="25" t="n">
        <v>12</v>
      </c>
      <c r="E46" s="25"/>
      <c r="F46" s="30"/>
      <c r="G46" s="30" t="n">
        <f aca="false">(G30/5)*3</f>
        <v>587.86155</v>
      </c>
    </row>
    <row r="47" customFormat="false" ht="15.75" hidden="false" customHeight="false" outlineLevel="0" collapsed="false">
      <c r="B47" s="25"/>
      <c r="C47" s="25" t="s">
        <v>71</v>
      </c>
      <c r="D47" s="25" t="n">
        <v>13</v>
      </c>
      <c r="E47" s="25"/>
      <c r="F47" s="30"/>
      <c r="G47" s="30" t="n">
        <f aca="false">(G31/5)*3</f>
        <v>226.7984375</v>
      </c>
    </row>
    <row r="48" customFormat="false" ht="15.75" hidden="false" customHeight="false" outlineLevel="0" collapsed="false">
      <c r="B48" s="25"/>
      <c r="C48" s="25" t="s">
        <v>72</v>
      </c>
      <c r="D48" s="25" t="n">
        <v>14</v>
      </c>
      <c r="E48" s="25"/>
      <c r="F48" s="30"/>
      <c r="G48" s="30" t="n">
        <f aca="false">(G32/5)*3</f>
        <v>192.8</v>
      </c>
    </row>
    <row r="49" customFormat="false" ht="15.75" hidden="false" customHeight="false" outlineLevel="0" collapsed="false">
      <c r="B49" s="25"/>
      <c r="C49" s="25" t="s">
        <v>73</v>
      </c>
      <c r="D49" s="25" t="n">
        <v>15</v>
      </c>
      <c r="E49" s="25"/>
      <c r="F49" s="30"/>
      <c r="G49" s="30" t="n">
        <f aca="false">(G33/5)*3</f>
        <v>113.39921875</v>
      </c>
    </row>
    <row r="50" customFormat="false" ht="15.75" hidden="false" customHeight="false" outlineLevel="0" collapsed="false">
      <c r="B50" s="25"/>
      <c r="C50" s="25" t="s">
        <v>81</v>
      </c>
      <c r="D50" s="25" t="n">
        <v>16</v>
      </c>
      <c r="E50" s="25"/>
      <c r="F50" s="30"/>
      <c r="G50" s="30" t="n">
        <f aca="false">(G34/5)*3</f>
        <v>2588.388696875</v>
      </c>
      <c r="H50" s="38"/>
      <c r="I50" s="38"/>
    </row>
    <row r="51" customFormat="false" ht="15.75" hidden="false" customHeight="false" outlineLevel="0" collapsed="false">
      <c r="B51" s="25"/>
      <c r="C51" s="33" t="s">
        <v>82</v>
      </c>
      <c r="D51" s="25"/>
      <c r="E51" s="25"/>
      <c r="F51" s="25"/>
      <c r="G51" s="25"/>
    </row>
    <row r="52" customFormat="false" ht="15.75" hidden="false" customHeight="false" outlineLevel="0" collapsed="false">
      <c r="B52" s="27" t="n">
        <f aca="false">B43</f>
        <v>46036</v>
      </c>
      <c r="C52" s="28" t="s">
        <v>83</v>
      </c>
      <c r="D52" s="25"/>
      <c r="E52" s="25"/>
      <c r="F52" s="25"/>
      <c r="G52" s="25"/>
    </row>
    <row r="53" customFormat="false" ht="15.75" hidden="false" customHeight="false" outlineLevel="0" collapsed="false">
      <c r="B53" s="25"/>
      <c r="C53" s="25" t="s">
        <v>61</v>
      </c>
      <c r="D53" s="25" t="n">
        <v>7</v>
      </c>
      <c r="E53" s="25"/>
      <c r="F53" s="34" t="n">
        <f aca="false">(G56*25%)+(G57*25%)</f>
        <v>927.31197578125</v>
      </c>
      <c r="G53" s="25"/>
    </row>
    <row r="54" customFormat="false" ht="15.75" hidden="false" customHeight="false" outlineLevel="0" collapsed="false">
      <c r="B54" s="25"/>
      <c r="C54" s="25" t="s">
        <v>61</v>
      </c>
      <c r="D54" s="25" t="n">
        <v>8</v>
      </c>
      <c r="E54" s="25"/>
      <c r="F54" s="34" t="n">
        <f aca="false">(G56*40%)+(G57*40%)</f>
        <v>1483.69916125</v>
      </c>
      <c r="G54" s="25"/>
    </row>
    <row r="55" customFormat="false" ht="15.75" hidden="false" customHeight="false" outlineLevel="0" collapsed="false">
      <c r="B55" s="25"/>
      <c r="C55" s="25" t="s">
        <v>61</v>
      </c>
      <c r="D55" s="25" t="n">
        <v>9</v>
      </c>
      <c r="E55" s="25"/>
      <c r="F55" s="34" t="n">
        <f aca="false">(G56*35%)+(G57*35%)</f>
        <v>1298.23676609375</v>
      </c>
      <c r="G55" s="25"/>
    </row>
    <row r="56" customFormat="false" ht="15.75" hidden="false" customHeight="false" outlineLevel="0" collapsed="false">
      <c r="B56" s="25"/>
      <c r="C56" s="25" t="s">
        <v>77</v>
      </c>
      <c r="D56" s="25" t="n">
        <v>10</v>
      </c>
      <c r="E56" s="25"/>
      <c r="F56" s="25"/>
      <c r="G56" s="34" t="n">
        <f aca="false">F44</f>
        <v>3358.96310625</v>
      </c>
    </row>
    <row r="57" customFormat="false" ht="15.75" hidden="false" customHeight="false" outlineLevel="0" collapsed="false">
      <c r="B57" s="25"/>
      <c r="C57" s="25" t="s">
        <v>78</v>
      </c>
      <c r="D57" s="25" t="n">
        <v>11</v>
      </c>
      <c r="E57" s="25"/>
      <c r="F57" s="25"/>
      <c r="G57" s="34" t="n">
        <f aca="false">F45</f>
        <v>350.284796875</v>
      </c>
    </row>
    <row r="58" customFormat="false" ht="15.75" hidden="false" customHeight="false" outlineLevel="0" collapsed="false">
      <c r="B58" s="25"/>
      <c r="C58" s="33" t="s">
        <v>84</v>
      </c>
      <c r="D58" s="25"/>
      <c r="E58" s="25"/>
      <c r="F58" s="25"/>
      <c r="G58" s="25"/>
    </row>
    <row r="59" customFormat="false" ht="15.75" hidden="false" customHeight="false" outlineLevel="0" collapsed="false">
      <c r="B59" s="27" t="n">
        <f aca="false">B52</f>
        <v>46036</v>
      </c>
      <c r="C59" s="28" t="s">
        <v>85</v>
      </c>
      <c r="D59" s="25"/>
      <c r="E59" s="25"/>
      <c r="F59" s="25"/>
      <c r="G59" s="25"/>
    </row>
    <row r="60" customFormat="false" ht="15.75" hidden="false" customHeight="false" outlineLevel="0" collapsed="false">
      <c r="B60" s="25"/>
      <c r="C60" s="25" t="s">
        <v>86</v>
      </c>
      <c r="D60" s="25" t="n">
        <v>17</v>
      </c>
      <c r="E60" s="25"/>
      <c r="F60" s="30" t="n">
        <f aca="false">CÁLCULOS!J64</f>
        <v>187.5</v>
      </c>
      <c r="G60" s="25"/>
    </row>
    <row r="61" customFormat="false" ht="15.75" hidden="false" customHeight="false" outlineLevel="0" collapsed="false">
      <c r="B61" s="25"/>
      <c r="C61" s="25" t="s">
        <v>87</v>
      </c>
      <c r="D61" s="25" t="n">
        <v>18</v>
      </c>
      <c r="E61" s="25"/>
      <c r="F61" s="30" t="n">
        <f aca="false">CÁLCULOS!J65</f>
        <v>281.25</v>
      </c>
      <c r="G61" s="25"/>
    </row>
    <row r="62" customFormat="false" ht="15.75" hidden="false" customHeight="false" outlineLevel="0" collapsed="false">
      <c r="B62" s="25"/>
      <c r="C62" s="25" t="s">
        <v>88</v>
      </c>
      <c r="D62" s="25" t="n">
        <v>19</v>
      </c>
      <c r="E62" s="25"/>
      <c r="F62" s="30" t="n">
        <f aca="false">CÁLCULOS!J66</f>
        <v>131.25</v>
      </c>
      <c r="G62" s="25"/>
    </row>
    <row r="63" customFormat="false" ht="15.75" hidden="false" customHeight="false" outlineLevel="0" collapsed="false">
      <c r="B63" s="25"/>
      <c r="C63" s="25" t="s">
        <v>89</v>
      </c>
      <c r="D63" s="25" t="n">
        <v>20</v>
      </c>
      <c r="E63" s="25"/>
      <c r="F63" s="30" t="n">
        <f aca="false">CÁLCULOS!J67</f>
        <v>218.75</v>
      </c>
      <c r="G63" s="25"/>
    </row>
    <row r="64" customFormat="false" ht="15.75" hidden="false" customHeight="false" outlineLevel="0" collapsed="false">
      <c r="B64" s="25"/>
      <c r="C64" s="25" t="s">
        <v>90</v>
      </c>
      <c r="D64" s="25" t="n">
        <v>21</v>
      </c>
      <c r="E64" s="25"/>
      <c r="F64" s="25"/>
      <c r="G64" s="34" t="n">
        <f aca="false">F60+F61+F62</f>
        <v>600</v>
      </c>
    </row>
    <row r="65" customFormat="false" ht="15.75" hidden="false" customHeight="false" outlineLevel="0" collapsed="false">
      <c r="B65" s="25"/>
      <c r="C65" s="25" t="s">
        <v>91</v>
      </c>
      <c r="D65" s="25" t="n">
        <v>22</v>
      </c>
      <c r="E65" s="25"/>
      <c r="F65" s="25"/>
      <c r="G65" s="39" t="n">
        <f aca="false">F63</f>
        <v>218.75</v>
      </c>
    </row>
    <row r="66" customFormat="false" ht="15.75" hidden="false" customHeight="false" outlineLevel="0" collapsed="false">
      <c r="B66" s="25"/>
      <c r="C66" s="33" t="s">
        <v>92</v>
      </c>
      <c r="D66" s="25"/>
      <c r="E66" s="25"/>
      <c r="F66" s="25"/>
      <c r="G66" s="25"/>
    </row>
    <row r="67" customFormat="false" ht="15.75" hidden="false" customHeight="false" outlineLevel="0" collapsed="false">
      <c r="B67" s="27" t="n">
        <f aca="false">B59</f>
        <v>46036</v>
      </c>
      <c r="C67" s="28" t="s">
        <v>93</v>
      </c>
      <c r="D67" s="25"/>
      <c r="E67" s="25"/>
      <c r="F67" s="25"/>
      <c r="G67" s="25"/>
    </row>
    <row r="68" customFormat="false" ht="15.75" hidden="false" customHeight="false" outlineLevel="0" collapsed="false">
      <c r="B68" s="29"/>
      <c r="C68" s="25" t="s">
        <v>94</v>
      </c>
      <c r="D68" s="29" t="n">
        <v>23</v>
      </c>
      <c r="E68" s="29"/>
      <c r="F68" s="39" t="n">
        <f aca="false">SUM(G69:G72)</f>
        <v>818.75</v>
      </c>
      <c r="G68" s="25"/>
    </row>
    <row r="69" customFormat="false" ht="15.75" hidden="false" customHeight="false" outlineLevel="0" collapsed="false">
      <c r="B69" s="29"/>
      <c r="C69" s="25" t="s">
        <v>95</v>
      </c>
      <c r="D69" s="29" t="n">
        <v>17</v>
      </c>
      <c r="E69" s="29"/>
      <c r="F69" s="25"/>
      <c r="G69" s="39" t="n">
        <f aca="false">F60</f>
        <v>187.5</v>
      </c>
    </row>
    <row r="70" customFormat="false" ht="15.75" hidden="false" customHeight="false" outlineLevel="0" collapsed="false">
      <c r="B70" s="29"/>
      <c r="C70" s="25" t="s">
        <v>96</v>
      </c>
      <c r="D70" s="29" t="n">
        <v>18</v>
      </c>
      <c r="E70" s="29"/>
      <c r="F70" s="25"/>
      <c r="G70" s="39" t="n">
        <f aca="false">F61</f>
        <v>281.25</v>
      </c>
    </row>
    <row r="71" customFormat="false" ht="15.75" hidden="false" customHeight="false" outlineLevel="0" collapsed="false">
      <c r="B71" s="29"/>
      <c r="C71" s="25" t="s">
        <v>97</v>
      </c>
      <c r="D71" s="29" t="n">
        <v>19</v>
      </c>
      <c r="E71" s="29"/>
      <c r="F71" s="25"/>
      <c r="G71" s="39" t="n">
        <f aca="false">F62</f>
        <v>131.25</v>
      </c>
    </row>
    <row r="72" customFormat="false" ht="15.75" hidden="false" customHeight="false" outlineLevel="0" collapsed="false">
      <c r="B72" s="29"/>
      <c r="C72" s="25" t="s">
        <v>98</v>
      </c>
      <c r="D72" s="29" t="n">
        <v>20</v>
      </c>
      <c r="E72" s="29"/>
      <c r="F72" s="25"/>
      <c r="G72" s="39" t="n">
        <f aca="false">F63</f>
        <v>218.75</v>
      </c>
    </row>
    <row r="73" customFormat="false" ht="15.75" hidden="false" customHeight="false" outlineLevel="0" collapsed="false">
      <c r="B73" s="29"/>
      <c r="C73" s="33" t="s">
        <v>99</v>
      </c>
      <c r="D73" s="29"/>
      <c r="E73" s="29"/>
      <c r="F73" s="29"/>
      <c r="G73" s="29"/>
    </row>
    <row r="74" customFormat="false" ht="15.75" hidden="false" customHeight="false" outlineLevel="0" collapsed="false">
      <c r="B74" s="27" t="n">
        <f aca="false">B67</f>
        <v>46036</v>
      </c>
      <c r="C74" s="28" t="s">
        <v>100</v>
      </c>
      <c r="D74" s="29"/>
      <c r="E74" s="29"/>
      <c r="F74" s="29"/>
      <c r="G74" s="29"/>
    </row>
    <row r="75" customFormat="false" ht="15.75" hidden="false" customHeight="false" outlineLevel="0" collapsed="false">
      <c r="B75" s="25"/>
      <c r="C75" s="25" t="s">
        <v>61</v>
      </c>
      <c r="D75" s="25" t="n">
        <v>7</v>
      </c>
      <c r="E75" s="25"/>
      <c r="F75" s="34" t="n">
        <f aca="false">CÁLCULOS!G68</f>
        <v>218.333333333333</v>
      </c>
      <c r="G75" s="25"/>
    </row>
    <row r="76" customFormat="false" ht="15.75" hidden="false" customHeight="false" outlineLevel="0" collapsed="false">
      <c r="B76" s="25"/>
      <c r="C76" s="25" t="s">
        <v>62</v>
      </c>
      <c r="D76" s="25" t="n">
        <v>8</v>
      </c>
      <c r="E76" s="25"/>
      <c r="F76" s="34" t="n">
        <f aca="false">CÁLCULOS!H68</f>
        <v>327.5</v>
      </c>
      <c r="G76" s="25"/>
    </row>
    <row r="77" customFormat="false" ht="15.75" hidden="false" customHeight="false" outlineLevel="0" collapsed="false">
      <c r="B77" s="25"/>
      <c r="C77" s="25" t="s">
        <v>63</v>
      </c>
      <c r="D77" s="25" t="n">
        <v>9</v>
      </c>
      <c r="E77" s="25"/>
      <c r="F77" s="34" t="n">
        <f aca="false">CÁLCULOS!I68</f>
        <v>272.916666666667</v>
      </c>
      <c r="G77" s="25"/>
    </row>
    <row r="78" customFormat="false" ht="15.75" hidden="false" customHeight="false" outlineLevel="0" collapsed="false">
      <c r="B78" s="25"/>
      <c r="C78" s="25" t="s">
        <v>101</v>
      </c>
      <c r="D78" s="25" t="n">
        <v>23</v>
      </c>
      <c r="E78" s="25"/>
      <c r="F78" s="25"/>
      <c r="G78" s="34" t="n">
        <f aca="false">F68</f>
        <v>818.75</v>
      </c>
    </row>
    <row r="79" customFormat="false" ht="15.75" hidden="false" customHeight="false" outlineLevel="0" collapsed="false">
      <c r="B79" s="25"/>
      <c r="C79" s="33" t="s">
        <v>102</v>
      </c>
      <c r="D79" s="25"/>
      <c r="E79" s="25"/>
      <c r="F79" s="25"/>
      <c r="G79" s="25"/>
    </row>
    <row r="80" customFormat="false" ht="15.75" hidden="false" customHeight="false" outlineLevel="0" collapsed="false">
      <c r="B80" s="27" t="n">
        <f aca="false">B74</f>
        <v>46036</v>
      </c>
      <c r="C80" s="28" t="s">
        <v>103</v>
      </c>
      <c r="D80" s="29"/>
      <c r="E80" s="29"/>
      <c r="F80" s="29"/>
      <c r="G80" s="29"/>
    </row>
    <row r="81" customFormat="false" ht="15.75" hidden="false" customHeight="false" outlineLevel="0" collapsed="false">
      <c r="B81" s="25"/>
      <c r="C81" s="25" t="s">
        <v>104</v>
      </c>
      <c r="D81" s="25" t="n">
        <v>24</v>
      </c>
      <c r="E81" s="25"/>
      <c r="F81" s="34" t="n">
        <f aca="false">G84</f>
        <v>21498.6950487691</v>
      </c>
      <c r="G81" s="25"/>
    </row>
    <row r="82" customFormat="false" ht="15.75" hidden="false" customHeight="false" outlineLevel="0" collapsed="false">
      <c r="B82" s="25"/>
      <c r="C82" s="25" t="s">
        <v>105</v>
      </c>
      <c r="D82" s="25" t="n">
        <v>25</v>
      </c>
      <c r="E82" s="25"/>
      <c r="F82" s="34" t="n">
        <f aca="false">G85</f>
        <v>35215.8090290204</v>
      </c>
      <c r="G82" s="25"/>
    </row>
    <row r="83" customFormat="false" ht="15.75" hidden="false" customHeight="false" outlineLevel="0" collapsed="false">
      <c r="B83" s="25"/>
      <c r="C83" s="25" t="s">
        <v>106</v>
      </c>
      <c r="D83" s="25" t="n">
        <v>26</v>
      </c>
      <c r="E83" s="25"/>
      <c r="F83" s="34" t="n">
        <f aca="false">G86</f>
        <v>34040.5017570865</v>
      </c>
      <c r="G83" s="25"/>
    </row>
    <row r="84" customFormat="false" ht="15.75" hidden="false" customHeight="false" outlineLevel="0" collapsed="false">
      <c r="B84" s="25"/>
      <c r="C84" s="25" t="s">
        <v>107</v>
      </c>
      <c r="D84" s="25" t="n">
        <v>7</v>
      </c>
      <c r="E84" s="25"/>
      <c r="F84" s="39"/>
      <c r="G84" s="34" t="n">
        <f aca="false">MAYORIZACIÓN!F54</f>
        <v>21498.6950487691</v>
      </c>
    </row>
    <row r="85" customFormat="false" ht="15.75" hidden="false" customHeight="false" outlineLevel="0" collapsed="false">
      <c r="B85" s="25"/>
      <c r="C85" s="25" t="s">
        <v>108</v>
      </c>
      <c r="D85" s="25" t="n">
        <v>8</v>
      </c>
      <c r="E85" s="25"/>
      <c r="F85" s="25"/>
      <c r="G85" s="30" t="n">
        <f aca="false">MAYORIZACIÓN!N54</f>
        <v>35215.8090290204</v>
      </c>
    </row>
    <row r="86" customFormat="false" ht="15.75" hidden="false" customHeight="false" outlineLevel="0" collapsed="false">
      <c r="B86" s="29"/>
      <c r="C86" s="25" t="s">
        <v>109</v>
      </c>
      <c r="D86" s="25" t="n">
        <v>9</v>
      </c>
      <c r="E86" s="29"/>
      <c r="F86" s="29"/>
      <c r="G86" s="30" t="n">
        <f aca="false">MAYORIZACIÓN!F68</f>
        <v>34040.5017570865</v>
      </c>
    </row>
    <row r="87" customFormat="false" ht="15.75" hidden="false" customHeight="false" outlineLevel="0" collapsed="false">
      <c r="B87" s="40"/>
      <c r="C87" s="33" t="s">
        <v>110</v>
      </c>
      <c r="D87" s="29"/>
      <c r="E87" s="29"/>
      <c r="F87" s="29"/>
      <c r="G87" s="29"/>
    </row>
    <row r="88" customFormat="false" ht="15.75" hidden="false" customHeight="false" outlineLevel="0" collapsed="false">
      <c r="B88" s="40" t="n">
        <f aca="false">B80</f>
        <v>46036</v>
      </c>
      <c r="C88" s="28" t="s">
        <v>111</v>
      </c>
      <c r="D88" s="29"/>
      <c r="E88" s="29"/>
      <c r="F88" s="25"/>
      <c r="G88" s="25"/>
    </row>
    <row r="89" customFormat="false" ht="15.75" hidden="false" customHeight="false" outlineLevel="0" collapsed="false">
      <c r="B89" s="25"/>
      <c r="C89" s="25" t="s">
        <v>112</v>
      </c>
      <c r="D89" s="29" t="n">
        <v>27</v>
      </c>
      <c r="E89" s="29"/>
      <c r="F89" s="39" t="n">
        <f aca="false">G90</f>
        <v>163359.010502777</v>
      </c>
      <c r="G89" s="25"/>
    </row>
    <row r="90" customFormat="false" ht="15.75" hidden="false" customHeight="false" outlineLevel="0" collapsed="false">
      <c r="B90" s="25"/>
      <c r="C90" s="25" t="s">
        <v>113</v>
      </c>
      <c r="D90" s="29" t="n">
        <v>28</v>
      </c>
      <c r="E90" s="29"/>
      <c r="F90" s="25"/>
      <c r="G90" s="30" t="n">
        <f aca="false">CÁLCULOS!E75</f>
        <v>163359.010502777</v>
      </c>
    </row>
    <row r="91" customFormat="false" ht="15.75" hidden="false" customHeight="false" outlineLevel="0" collapsed="false">
      <c r="B91" s="25"/>
      <c r="C91" s="33" t="s">
        <v>114</v>
      </c>
      <c r="D91" s="29"/>
      <c r="E91" s="29"/>
      <c r="F91" s="25"/>
      <c r="G91" s="25"/>
    </row>
    <row r="92" customFormat="false" ht="15.75" hidden="false" customHeight="false" outlineLevel="0" collapsed="false">
      <c r="B92" s="27" t="n">
        <f aca="false">B80</f>
        <v>46036</v>
      </c>
      <c r="C92" s="28" t="s">
        <v>115</v>
      </c>
      <c r="D92" s="29"/>
      <c r="E92" s="29"/>
      <c r="F92" s="25"/>
      <c r="G92" s="25"/>
    </row>
    <row r="93" customFormat="false" ht="15.75" hidden="false" customHeight="false" outlineLevel="0" collapsed="false">
      <c r="B93" s="25"/>
      <c r="C93" s="25" t="s">
        <v>116</v>
      </c>
      <c r="D93" s="29"/>
      <c r="E93" s="29"/>
      <c r="F93" s="34" t="n">
        <f aca="false">SUM(G94:G96)</f>
        <v>90755.005834876</v>
      </c>
      <c r="G93" s="25"/>
    </row>
    <row r="94" customFormat="false" ht="15.75" hidden="false" customHeight="false" outlineLevel="0" collapsed="false">
      <c r="B94" s="25"/>
      <c r="C94" s="25" t="s">
        <v>117</v>
      </c>
      <c r="D94" s="29" t="n">
        <v>24</v>
      </c>
      <c r="E94" s="29"/>
      <c r="F94" s="25"/>
      <c r="G94" s="34" t="n">
        <f aca="false">KARDEX!I89</f>
        <v>21498.6950487691</v>
      </c>
    </row>
    <row r="95" customFormat="false" ht="15.75" hidden="false" customHeight="false" outlineLevel="0" collapsed="false">
      <c r="B95" s="25"/>
      <c r="C95" s="25" t="s">
        <v>118</v>
      </c>
      <c r="D95" s="29"/>
      <c r="E95" s="29"/>
      <c r="F95" s="25"/>
      <c r="G95" s="34" t="n">
        <f aca="false">KARDEX!I103</f>
        <v>35215.8090290204</v>
      </c>
    </row>
    <row r="96" customFormat="false" ht="15.75" hidden="false" customHeight="false" outlineLevel="0" collapsed="false">
      <c r="B96" s="25"/>
      <c r="C96" s="25" t="s">
        <v>119</v>
      </c>
      <c r="D96" s="29"/>
      <c r="E96" s="29"/>
      <c r="F96" s="25"/>
      <c r="G96" s="34" t="n">
        <f aca="false">KARDEX!I117</f>
        <v>34040.5017570865</v>
      </c>
    </row>
    <row r="97" customFormat="false" ht="15.75" hidden="false" customHeight="false" outlineLevel="0" collapsed="false">
      <c r="B97" s="25"/>
      <c r="C97" s="33" t="s">
        <v>120</v>
      </c>
      <c r="D97" s="29"/>
      <c r="E97" s="29"/>
      <c r="F97" s="25"/>
      <c r="G97" s="25"/>
    </row>
    <row r="98" customFormat="false" ht="15.75" hidden="false" customHeight="false" outlineLevel="0" collapsed="false">
      <c r="B98" s="27" t="n">
        <v>46037</v>
      </c>
      <c r="C98" s="28" t="s">
        <v>121</v>
      </c>
      <c r="D98" s="25"/>
      <c r="E98" s="25"/>
      <c r="F98" s="25"/>
      <c r="G98" s="25"/>
    </row>
    <row r="99" customFormat="false" ht="15.75" hidden="false" customHeight="false" outlineLevel="0" collapsed="false">
      <c r="B99" s="25"/>
      <c r="C99" s="25" t="s">
        <v>52</v>
      </c>
      <c r="D99" s="25" t="n">
        <v>2</v>
      </c>
      <c r="E99" s="25"/>
      <c r="F99" s="30" t="n">
        <f aca="false">KARDEX!F14+KARDEX!F30+KARDEX!F46+KARDEX!F62</f>
        <v>122282.6</v>
      </c>
      <c r="G99" s="25"/>
    </row>
    <row r="100" customFormat="false" ht="15.75" hidden="false" customHeight="false" outlineLevel="0" collapsed="false">
      <c r="B100" s="25"/>
      <c r="C100" s="25" t="s">
        <v>52</v>
      </c>
      <c r="D100" s="25" t="n">
        <v>3</v>
      </c>
      <c r="E100" s="25"/>
      <c r="F100" s="25" t="n">
        <f aca="false">KARDEX!F158</f>
        <v>0</v>
      </c>
      <c r="G100" s="25"/>
    </row>
    <row r="101" customFormat="false" ht="15.75" hidden="false" customHeight="false" outlineLevel="0" collapsed="false">
      <c r="B101" s="25"/>
      <c r="C101" s="25" t="s">
        <v>55</v>
      </c>
      <c r="D101" s="25" t="n">
        <v>5</v>
      </c>
      <c r="E101" s="25"/>
      <c r="F101" s="25"/>
      <c r="G101" s="34" t="n">
        <f aca="false">F99+F100</f>
        <v>122282.6</v>
      </c>
    </row>
    <row r="102" customFormat="false" ht="15.75" hidden="false" customHeight="false" outlineLevel="0" collapsed="false">
      <c r="B102" s="25"/>
      <c r="C102" s="33" t="s">
        <v>59</v>
      </c>
      <c r="D102" s="25"/>
      <c r="E102" s="25"/>
      <c r="F102" s="25"/>
      <c r="G102" s="25"/>
    </row>
    <row r="103" customFormat="false" ht="15.75" hidden="false" customHeight="false" outlineLevel="0" collapsed="false">
      <c r="B103" s="27" t="n">
        <f aca="false">B98</f>
        <v>46037</v>
      </c>
      <c r="C103" s="28" t="s">
        <v>122</v>
      </c>
      <c r="D103" s="29"/>
      <c r="E103" s="29"/>
      <c r="F103" s="29"/>
      <c r="G103" s="29"/>
    </row>
    <row r="104" customFormat="false" ht="15.75" hidden="false" customHeight="false" outlineLevel="0" collapsed="false">
      <c r="B104" s="29"/>
      <c r="C104" s="25" t="s">
        <v>123</v>
      </c>
      <c r="D104" s="25"/>
      <c r="E104" s="25"/>
      <c r="F104" s="34" t="n">
        <f aca="false">KARDEX!I15+KARDEX!I31+KARDEX!I47+KARDEX!I63+KARDEX!I79</f>
        <v>25743.3899105707</v>
      </c>
      <c r="G104" s="25"/>
    </row>
    <row r="105" customFormat="false" ht="15.75" hidden="false" customHeight="false" outlineLevel="0" collapsed="false">
      <c r="B105" s="29"/>
      <c r="C105" s="25" t="s">
        <v>124</v>
      </c>
      <c r="D105" s="25"/>
      <c r="E105" s="25"/>
      <c r="F105" s="34" t="n">
        <f aca="false">KARDEX!I16+KARDEX!I32+KARDEX!I48+KARDEX!I64+KARDEX!I80</f>
        <v>33871.8236320176</v>
      </c>
      <c r="G105" s="25"/>
    </row>
    <row r="106" customFormat="false" ht="15.75" hidden="false" customHeight="false" outlineLevel="0" collapsed="false">
      <c r="B106" s="29"/>
      <c r="C106" s="25" t="s">
        <v>125</v>
      </c>
      <c r="D106" s="25"/>
      <c r="E106" s="25"/>
      <c r="F106" s="34" t="n">
        <f aca="false">KARDEX!I17+KARDEX!I33+KARDEX!I49+KARDEX!I65+KARDEX!I81</f>
        <v>59738.002666025</v>
      </c>
      <c r="G106" s="25"/>
    </row>
    <row r="107" customFormat="false" ht="15.75" hidden="false" customHeight="false" outlineLevel="0" collapsed="false">
      <c r="B107" s="29"/>
      <c r="C107" s="25" t="s">
        <v>64</v>
      </c>
      <c r="D107" s="25"/>
      <c r="E107" s="25"/>
      <c r="F107" s="25"/>
      <c r="G107" s="34" t="n">
        <f aca="false">KARDEX!I15+KARDEX!I16+KARDEX!I17+KARDEX!I31+KARDEX!I32+KARDEX!I33+KARDEX!I47+KARDEX!I48+KARDEX!I49+KARDEX!I63+KARDEX!I64+KARDEX!I65</f>
        <v>119249.216208613</v>
      </c>
    </row>
    <row r="108" customFormat="false" ht="15.75" hidden="false" customHeight="false" outlineLevel="0" collapsed="false">
      <c r="B108" s="29"/>
      <c r="C108" s="25" t="s">
        <v>65</v>
      </c>
      <c r="D108" s="25"/>
      <c r="E108" s="25"/>
      <c r="F108" s="25"/>
      <c r="G108" s="34" t="n">
        <f aca="false">KARDEX!I79+KARDEX!I80+KARDEX!I81</f>
        <v>104</v>
      </c>
    </row>
    <row r="109" customFormat="false" ht="15.75" hidden="false" customHeight="false" outlineLevel="0" collapsed="false">
      <c r="B109" s="29"/>
      <c r="C109" s="33" t="s">
        <v>66</v>
      </c>
      <c r="D109" s="25"/>
      <c r="E109" s="25"/>
      <c r="F109" s="34"/>
      <c r="G109" s="34"/>
    </row>
    <row r="110" customFormat="false" ht="15.75" hidden="false" customHeight="false" outlineLevel="0" collapsed="false">
      <c r="B110" s="27" t="n">
        <v>46038</v>
      </c>
      <c r="C110" s="28" t="s">
        <v>126</v>
      </c>
      <c r="D110" s="25"/>
      <c r="E110" s="25"/>
      <c r="F110" s="25"/>
      <c r="G110" s="25"/>
    </row>
    <row r="111" customFormat="false" ht="15.75" hidden="false" customHeight="false" outlineLevel="0" collapsed="false">
      <c r="B111" s="25"/>
      <c r="C111" s="25" t="s">
        <v>68</v>
      </c>
      <c r="D111" s="25"/>
      <c r="E111" s="25"/>
      <c r="F111" s="30" t="n">
        <f aca="false">(F28/5)*2</f>
        <v>2239.3087375</v>
      </c>
      <c r="G111" s="30"/>
    </row>
    <row r="112" customFormat="false" ht="15.75" hidden="false" customHeight="false" outlineLevel="0" collapsed="false">
      <c r="B112" s="25"/>
      <c r="C112" s="25" t="s">
        <v>69</v>
      </c>
      <c r="D112" s="25"/>
      <c r="E112" s="25"/>
      <c r="F112" s="30" t="n">
        <f aca="false">(F29/5)*2</f>
        <v>233.523197916667</v>
      </c>
      <c r="G112" s="30"/>
    </row>
    <row r="113" customFormat="false" ht="15.75" hidden="false" customHeight="false" outlineLevel="0" collapsed="false">
      <c r="B113" s="25"/>
      <c r="C113" s="25" t="s">
        <v>70</v>
      </c>
      <c r="D113" s="25"/>
      <c r="E113" s="25"/>
      <c r="F113" s="30"/>
      <c r="G113" s="30" t="n">
        <f aca="false">(G30/5)*2</f>
        <v>391.9077</v>
      </c>
    </row>
    <row r="114" customFormat="false" ht="15.75" hidden="false" customHeight="false" outlineLevel="0" collapsed="false">
      <c r="B114" s="25"/>
      <c r="C114" s="25" t="s">
        <v>71</v>
      </c>
      <c r="D114" s="25"/>
      <c r="E114" s="25"/>
      <c r="F114" s="30"/>
      <c r="G114" s="30" t="n">
        <f aca="false">(G31/5)*2</f>
        <v>151.198958333333</v>
      </c>
    </row>
    <row r="115" customFormat="false" ht="15.75" hidden="false" customHeight="false" outlineLevel="0" collapsed="false">
      <c r="B115" s="25"/>
      <c r="C115" s="25" t="s">
        <v>72</v>
      </c>
      <c r="D115" s="25"/>
      <c r="E115" s="25"/>
      <c r="F115" s="30"/>
      <c r="G115" s="30" t="n">
        <f aca="false">(G32/5)*2</f>
        <v>128.533333333333</v>
      </c>
    </row>
    <row r="116" customFormat="false" ht="15.75" hidden="false" customHeight="false" outlineLevel="0" collapsed="false">
      <c r="B116" s="25"/>
      <c r="C116" s="25" t="s">
        <v>73</v>
      </c>
      <c r="D116" s="25"/>
      <c r="E116" s="25"/>
      <c r="F116" s="30"/>
      <c r="G116" s="30" t="n">
        <f aca="false">(G33/5)*2</f>
        <v>75.5994791666667</v>
      </c>
    </row>
    <row r="117" customFormat="false" ht="15.75" hidden="false" customHeight="false" outlineLevel="0" collapsed="false">
      <c r="B117" s="25"/>
      <c r="C117" s="25" t="s">
        <v>81</v>
      </c>
      <c r="D117" s="25"/>
      <c r="E117" s="25"/>
      <c r="F117" s="30"/>
      <c r="G117" s="30" t="n">
        <f aca="false">(G34/5)*2</f>
        <v>1725.59246458333</v>
      </c>
      <c r="H117" s="38"/>
      <c r="I117" s="38"/>
    </row>
    <row r="118" customFormat="false" ht="15.75" hidden="false" customHeight="false" outlineLevel="0" collapsed="false">
      <c r="B118" s="25"/>
      <c r="C118" s="33" t="s">
        <v>127</v>
      </c>
      <c r="D118" s="25"/>
      <c r="E118" s="25"/>
      <c r="F118" s="25"/>
      <c r="G118" s="25"/>
    </row>
    <row r="119" customFormat="false" ht="15.75" hidden="false" customHeight="false" outlineLevel="0" collapsed="false">
      <c r="B119" s="27" t="n">
        <f aca="false">B110</f>
        <v>46038</v>
      </c>
      <c r="C119" s="28" t="s">
        <v>128</v>
      </c>
      <c r="D119" s="25"/>
      <c r="E119" s="25"/>
      <c r="F119" s="25"/>
      <c r="G119" s="25"/>
    </row>
    <row r="120" customFormat="false" ht="15.75" hidden="false" customHeight="false" outlineLevel="0" collapsed="false">
      <c r="B120" s="25"/>
      <c r="C120" s="25" t="s">
        <v>61</v>
      </c>
      <c r="D120" s="25"/>
      <c r="E120" s="25"/>
      <c r="F120" s="34" t="n">
        <f aca="false">(G123*25%)+(G124*25%)</f>
        <v>618.207983854167</v>
      </c>
      <c r="G120" s="25"/>
    </row>
    <row r="121" customFormat="false" ht="15.75" hidden="false" customHeight="false" outlineLevel="0" collapsed="false">
      <c r="B121" s="25"/>
      <c r="C121" s="25" t="s">
        <v>62</v>
      </c>
      <c r="D121" s="25"/>
      <c r="E121" s="25"/>
      <c r="F121" s="34" t="n">
        <f aca="false">(G123*40%)+(G124*40%)</f>
        <v>989.132774166667</v>
      </c>
      <c r="G121" s="25"/>
    </row>
    <row r="122" customFormat="false" ht="15.75" hidden="false" customHeight="false" outlineLevel="0" collapsed="false">
      <c r="B122" s="25"/>
      <c r="C122" s="25" t="s">
        <v>63</v>
      </c>
      <c r="D122" s="25"/>
      <c r="E122" s="25"/>
      <c r="F122" s="34" t="n">
        <f aca="false">(G123*35%)+(G124*35%)</f>
        <v>865.491177395833</v>
      </c>
      <c r="G122" s="25"/>
    </row>
    <row r="123" customFormat="false" ht="15.75" hidden="false" customHeight="false" outlineLevel="0" collapsed="false">
      <c r="B123" s="25"/>
      <c r="C123" s="25" t="s">
        <v>77</v>
      </c>
      <c r="D123" s="25"/>
      <c r="E123" s="25"/>
      <c r="F123" s="25"/>
      <c r="G123" s="34" t="n">
        <f aca="false">F111</f>
        <v>2239.3087375</v>
      </c>
    </row>
    <row r="124" customFormat="false" ht="15.75" hidden="false" customHeight="false" outlineLevel="0" collapsed="false">
      <c r="B124" s="25"/>
      <c r="C124" s="25" t="s">
        <v>78</v>
      </c>
      <c r="D124" s="25"/>
      <c r="E124" s="25"/>
      <c r="F124" s="25"/>
      <c r="G124" s="34" t="n">
        <f aca="false">F112</f>
        <v>233.523197916667</v>
      </c>
    </row>
    <row r="125" customFormat="false" ht="15.75" hidden="false" customHeight="false" outlineLevel="0" collapsed="false">
      <c r="B125" s="25"/>
      <c r="C125" s="33" t="s">
        <v>129</v>
      </c>
      <c r="D125" s="25"/>
      <c r="E125" s="25"/>
      <c r="F125" s="25"/>
      <c r="G125" s="25"/>
    </row>
    <row r="126" customFormat="false" ht="15.75" hidden="false" customHeight="false" outlineLevel="0" collapsed="false">
      <c r="B126" s="27" t="n">
        <v>46045</v>
      </c>
      <c r="C126" s="28" t="s">
        <v>130</v>
      </c>
      <c r="D126" s="25"/>
      <c r="E126" s="25"/>
      <c r="F126" s="25"/>
      <c r="G126" s="25"/>
    </row>
    <row r="127" customFormat="false" ht="15.75" hidden="false" customHeight="false" outlineLevel="0" collapsed="false">
      <c r="B127" s="25"/>
      <c r="C127" s="25" t="s">
        <v>68</v>
      </c>
      <c r="D127" s="25"/>
      <c r="E127" s="25"/>
      <c r="F127" s="30" t="n">
        <f aca="false">F28</f>
        <v>5598.27184375</v>
      </c>
      <c r="G127" s="30"/>
    </row>
    <row r="128" customFormat="false" ht="15.75" hidden="false" customHeight="false" outlineLevel="0" collapsed="false">
      <c r="B128" s="25"/>
      <c r="C128" s="25" t="s">
        <v>69</v>
      </c>
      <c r="D128" s="25"/>
      <c r="E128" s="25"/>
      <c r="F128" s="30" t="n">
        <f aca="false">F29</f>
        <v>583.807994791667</v>
      </c>
      <c r="G128" s="30"/>
    </row>
    <row r="129" customFormat="false" ht="15.75" hidden="false" customHeight="false" outlineLevel="0" collapsed="false">
      <c r="B129" s="25"/>
      <c r="C129" s="25" t="s">
        <v>70</v>
      </c>
      <c r="D129" s="25"/>
      <c r="E129" s="25"/>
      <c r="F129" s="30"/>
      <c r="G129" s="30" t="n">
        <f aca="false">G30</f>
        <v>979.76925</v>
      </c>
    </row>
    <row r="130" customFormat="false" ht="15.75" hidden="false" customHeight="false" outlineLevel="0" collapsed="false">
      <c r="B130" s="25"/>
      <c r="C130" s="25" t="s">
        <v>71</v>
      </c>
      <c r="D130" s="25"/>
      <c r="E130" s="25"/>
      <c r="F130" s="30"/>
      <c r="G130" s="30" t="n">
        <f aca="false">G31</f>
        <v>377.997395833333</v>
      </c>
    </row>
    <row r="131" customFormat="false" ht="15.75" hidden="false" customHeight="false" outlineLevel="0" collapsed="false">
      <c r="B131" s="25"/>
      <c r="C131" s="25" t="s">
        <v>72</v>
      </c>
      <c r="D131" s="25"/>
      <c r="E131" s="25"/>
      <c r="F131" s="30"/>
      <c r="G131" s="30" t="n">
        <f aca="false">G32</f>
        <v>321.333333333333</v>
      </c>
    </row>
    <row r="132" customFormat="false" ht="15.75" hidden="false" customHeight="false" outlineLevel="0" collapsed="false">
      <c r="B132" s="25"/>
      <c r="C132" s="25" t="s">
        <v>73</v>
      </c>
      <c r="D132" s="25"/>
      <c r="E132" s="25"/>
      <c r="F132" s="30"/>
      <c r="G132" s="30" t="n">
        <f aca="false">G33</f>
        <v>188.998697916667</v>
      </c>
    </row>
    <row r="133" customFormat="false" ht="15.75" hidden="false" customHeight="false" outlineLevel="0" collapsed="false">
      <c r="B133" s="25"/>
      <c r="C133" s="25" t="s">
        <v>74</v>
      </c>
      <c r="D133" s="25"/>
      <c r="E133" s="25"/>
      <c r="F133" s="30"/>
      <c r="G133" s="30" t="n">
        <f aca="false">G34</f>
        <v>4313.98116145833</v>
      </c>
    </row>
    <row r="134" customFormat="false" ht="15.75" hidden="false" customHeight="false" outlineLevel="0" collapsed="false">
      <c r="B134" s="25"/>
      <c r="C134" s="33" t="s">
        <v>131</v>
      </c>
      <c r="D134" s="25"/>
      <c r="E134" s="25"/>
      <c r="F134" s="25"/>
      <c r="G134" s="25"/>
    </row>
    <row r="135" customFormat="false" ht="15.75" hidden="false" customHeight="false" outlineLevel="0" collapsed="false">
      <c r="B135" s="27" t="n">
        <f aca="false">B126</f>
        <v>46045</v>
      </c>
      <c r="C135" s="28" t="s">
        <v>132</v>
      </c>
      <c r="D135" s="25"/>
      <c r="E135" s="25"/>
      <c r="F135" s="25"/>
      <c r="G135" s="25"/>
    </row>
    <row r="136" customFormat="false" ht="15.75" hidden="false" customHeight="false" outlineLevel="0" collapsed="false">
      <c r="B136" s="25"/>
      <c r="C136" s="25" t="s">
        <v>61</v>
      </c>
      <c r="D136" s="25"/>
      <c r="E136" s="25"/>
      <c r="F136" s="34" t="n">
        <f aca="false">(G139*25%)+(G140*25%)</f>
        <v>1545.51995963542</v>
      </c>
      <c r="G136" s="25"/>
    </row>
    <row r="137" customFormat="false" ht="15.75" hidden="false" customHeight="false" outlineLevel="0" collapsed="false">
      <c r="B137" s="25"/>
      <c r="C137" s="25" t="s">
        <v>62</v>
      </c>
      <c r="D137" s="25"/>
      <c r="E137" s="25"/>
      <c r="F137" s="34" t="n">
        <f aca="false">(G139*40%)+(G140*40%)</f>
        <v>2472.83193541667</v>
      </c>
      <c r="G137" s="25"/>
    </row>
    <row r="138" customFormat="false" ht="15.75" hidden="false" customHeight="false" outlineLevel="0" collapsed="false">
      <c r="B138" s="25"/>
      <c r="C138" s="25" t="s">
        <v>63</v>
      </c>
      <c r="D138" s="25"/>
      <c r="E138" s="25"/>
      <c r="F138" s="34" t="n">
        <f aca="false">(G139*35%)+(G140*35%)</f>
        <v>2163.72794348958</v>
      </c>
      <c r="G138" s="25"/>
    </row>
    <row r="139" customFormat="false" ht="15.75" hidden="false" customHeight="false" outlineLevel="0" collapsed="false">
      <c r="B139" s="25"/>
      <c r="C139" s="25" t="s">
        <v>77</v>
      </c>
      <c r="D139" s="25"/>
      <c r="E139" s="25"/>
      <c r="F139" s="25"/>
      <c r="G139" s="34" t="n">
        <f aca="false">F127</f>
        <v>5598.27184375</v>
      </c>
    </row>
    <row r="140" customFormat="false" ht="15.75" hidden="false" customHeight="false" outlineLevel="0" collapsed="false">
      <c r="B140" s="25"/>
      <c r="C140" s="25" t="s">
        <v>78</v>
      </c>
      <c r="D140" s="25"/>
      <c r="E140" s="25"/>
      <c r="F140" s="25"/>
      <c r="G140" s="34" t="n">
        <f aca="false">F128</f>
        <v>583.807994791667</v>
      </c>
    </row>
    <row r="141" customFormat="false" ht="15.75" hidden="false" customHeight="false" outlineLevel="0" collapsed="false">
      <c r="B141" s="25"/>
      <c r="C141" s="33" t="s">
        <v>133</v>
      </c>
      <c r="D141" s="25"/>
      <c r="E141" s="25"/>
      <c r="F141" s="25"/>
      <c r="G141" s="25"/>
    </row>
    <row r="142" customFormat="false" ht="15.75" hidden="false" customHeight="false" outlineLevel="0" collapsed="false">
      <c r="B142" s="27" t="n">
        <v>46050</v>
      </c>
      <c r="C142" s="28" t="s">
        <v>134</v>
      </c>
      <c r="D142" s="25"/>
      <c r="E142" s="25"/>
      <c r="F142" s="25"/>
      <c r="G142" s="25"/>
    </row>
    <row r="143" customFormat="false" ht="15.75" hidden="false" customHeight="false" outlineLevel="0" collapsed="false">
      <c r="B143" s="25"/>
      <c r="C143" s="25" t="s">
        <v>68</v>
      </c>
      <c r="D143" s="25"/>
      <c r="E143" s="25"/>
      <c r="F143" s="30" t="n">
        <f aca="false">(F28/5)*3</f>
        <v>3358.96310625</v>
      </c>
      <c r="G143" s="30"/>
    </row>
    <row r="144" customFormat="false" ht="15.75" hidden="false" customHeight="false" outlineLevel="0" collapsed="false">
      <c r="B144" s="25"/>
      <c r="C144" s="25" t="s">
        <v>69</v>
      </c>
      <c r="D144" s="25"/>
      <c r="E144" s="25"/>
      <c r="F144" s="30" t="n">
        <f aca="false">(F29/5)*3</f>
        <v>350.284796875</v>
      </c>
      <c r="G144" s="30"/>
    </row>
    <row r="145" customFormat="false" ht="15.75" hidden="false" customHeight="false" outlineLevel="0" collapsed="false">
      <c r="B145" s="25"/>
      <c r="C145" s="25" t="s">
        <v>70</v>
      </c>
      <c r="D145" s="25"/>
      <c r="E145" s="25"/>
      <c r="F145" s="30"/>
      <c r="G145" s="30" t="n">
        <f aca="false">(G30/5)*3</f>
        <v>587.86155</v>
      </c>
    </row>
    <row r="146" customFormat="false" ht="15.75" hidden="false" customHeight="false" outlineLevel="0" collapsed="false">
      <c r="B146" s="25"/>
      <c r="C146" s="25" t="s">
        <v>71</v>
      </c>
      <c r="D146" s="25"/>
      <c r="E146" s="25"/>
      <c r="F146" s="30"/>
      <c r="G146" s="30" t="n">
        <f aca="false">(G31/5)*3</f>
        <v>226.7984375</v>
      </c>
    </row>
    <row r="147" customFormat="false" ht="15.75" hidden="false" customHeight="false" outlineLevel="0" collapsed="false">
      <c r="B147" s="25"/>
      <c r="C147" s="25" t="s">
        <v>72</v>
      </c>
      <c r="D147" s="25"/>
      <c r="E147" s="25"/>
      <c r="F147" s="30"/>
      <c r="G147" s="30" t="n">
        <f aca="false">(G32/5)*3</f>
        <v>192.8</v>
      </c>
    </row>
    <row r="148" customFormat="false" ht="15.75" hidden="false" customHeight="false" outlineLevel="0" collapsed="false">
      <c r="B148" s="25"/>
      <c r="C148" s="25" t="s">
        <v>73</v>
      </c>
      <c r="D148" s="25"/>
      <c r="E148" s="25"/>
      <c r="F148" s="30"/>
      <c r="G148" s="30" t="n">
        <f aca="false">(G33/5)*3</f>
        <v>113.39921875</v>
      </c>
    </row>
    <row r="149" customFormat="false" ht="15.75" hidden="false" customHeight="false" outlineLevel="0" collapsed="false">
      <c r="B149" s="25"/>
      <c r="C149" s="25" t="s">
        <v>74</v>
      </c>
      <c r="D149" s="25"/>
      <c r="E149" s="25"/>
      <c r="F149" s="30"/>
      <c r="G149" s="30" t="n">
        <f aca="false">(G34/5)*3</f>
        <v>2588.388696875</v>
      </c>
    </row>
    <row r="150" customFormat="false" ht="15.75" hidden="false" customHeight="false" outlineLevel="0" collapsed="false">
      <c r="B150" s="25"/>
      <c r="C150" s="33" t="s">
        <v>135</v>
      </c>
      <c r="D150" s="25"/>
      <c r="E150" s="25"/>
      <c r="F150" s="25"/>
      <c r="G150" s="25"/>
    </row>
    <row r="151" customFormat="false" ht="15.75" hidden="false" customHeight="false" outlineLevel="0" collapsed="false">
      <c r="B151" s="27" t="n">
        <f aca="false">B142</f>
        <v>46050</v>
      </c>
      <c r="C151" s="28" t="s">
        <v>136</v>
      </c>
      <c r="D151" s="25"/>
      <c r="E151" s="25"/>
      <c r="F151" s="25"/>
      <c r="G151" s="25"/>
    </row>
    <row r="152" customFormat="false" ht="15.75" hidden="false" customHeight="false" outlineLevel="0" collapsed="false">
      <c r="B152" s="25"/>
      <c r="C152" s="25" t="s">
        <v>61</v>
      </c>
      <c r="D152" s="25"/>
      <c r="E152" s="25"/>
      <c r="F152" s="34" t="n">
        <f aca="false">(G155*25%)+(G156*25%)</f>
        <v>927.31197578125</v>
      </c>
      <c r="G152" s="25"/>
    </row>
    <row r="153" customFormat="false" ht="15.75" hidden="false" customHeight="false" outlineLevel="0" collapsed="false">
      <c r="B153" s="25"/>
      <c r="C153" s="25" t="s">
        <v>62</v>
      </c>
      <c r="D153" s="25"/>
      <c r="E153" s="25"/>
      <c r="F153" s="34" t="n">
        <f aca="false">(G155*40%)+(G156*40%)</f>
        <v>1483.69916125</v>
      </c>
      <c r="G153" s="25"/>
    </row>
    <row r="154" customFormat="false" ht="15.75" hidden="false" customHeight="false" outlineLevel="0" collapsed="false">
      <c r="B154" s="25"/>
      <c r="C154" s="25" t="s">
        <v>63</v>
      </c>
      <c r="D154" s="25"/>
      <c r="E154" s="25"/>
      <c r="F154" s="34" t="n">
        <f aca="false">(G155*35%)+(G156*35%)</f>
        <v>1298.23676609375</v>
      </c>
      <c r="G154" s="25"/>
    </row>
    <row r="155" customFormat="false" ht="15.75" hidden="false" customHeight="false" outlineLevel="0" collapsed="false">
      <c r="B155" s="25"/>
      <c r="C155" s="25" t="s">
        <v>77</v>
      </c>
      <c r="D155" s="25"/>
      <c r="E155" s="25"/>
      <c r="F155" s="25"/>
      <c r="G155" s="34" t="n">
        <f aca="false">F143</f>
        <v>3358.96310625</v>
      </c>
    </row>
    <row r="156" customFormat="false" ht="15.75" hidden="false" customHeight="false" outlineLevel="0" collapsed="false">
      <c r="B156" s="25"/>
      <c r="C156" s="25" t="s">
        <v>78</v>
      </c>
      <c r="D156" s="25"/>
      <c r="E156" s="25"/>
      <c r="F156" s="25"/>
      <c r="G156" s="34" t="n">
        <f aca="false">F144</f>
        <v>350.284796875</v>
      </c>
    </row>
    <row r="157" customFormat="false" ht="15.75" hidden="false" customHeight="false" outlineLevel="0" collapsed="false">
      <c r="B157" s="25"/>
      <c r="C157" s="33" t="s">
        <v>137</v>
      </c>
      <c r="D157" s="25"/>
      <c r="E157" s="25"/>
      <c r="F157" s="25"/>
      <c r="G157" s="25"/>
    </row>
    <row r="158" customFormat="false" ht="15.75" hidden="false" customHeight="false" outlineLevel="0" collapsed="false">
      <c r="B158" s="27" t="n">
        <f aca="false">B151</f>
        <v>46050</v>
      </c>
      <c r="C158" s="28" t="s">
        <v>138</v>
      </c>
      <c r="D158" s="25"/>
      <c r="E158" s="25"/>
      <c r="F158" s="25"/>
      <c r="G158" s="25"/>
    </row>
    <row r="159" customFormat="false" ht="15.75" hidden="false" customHeight="false" outlineLevel="0" collapsed="false">
      <c r="B159" s="25"/>
      <c r="C159" s="25" t="s">
        <v>86</v>
      </c>
      <c r="D159" s="25"/>
      <c r="E159" s="25"/>
      <c r="F159" s="30" t="n">
        <f aca="false">CÁLCULOS!J141</f>
        <v>250</v>
      </c>
      <c r="G159" s="25"/>
    </row>
    <row r="160" customFormat="false" ht="15.75" hidden="false" customHeight="false" outlineLevel="0" collapsed="false">
      <c r="B160" s="25"/>
      <c r="C160" s="25" t="s">
        <v>87</v>
      </c>
      <c r="D160" s="25"/>
      <c r="E160" s="25"/>
      <c r="F160" s="30" t="n">
        <f aca="false">CÁLCULOS!J142</f>
        <v>375</v>
      </c>
      <c r="G160" s="25"/>
    </row>
    <row r="161" customFormat="false" ht="15.75" hidden="false" customHeight="false" outlineLevel="0" collapsed="false">
      <c r="B161" s="25"/>
      <c r="C161" s="25" t="s">
        <v>88</v>
      </c>
      <c r="D161" s="25"/>
      <c r="E161" s="25"/>
      <c r="F161" s="30" t="n">
        <f aca="false">CÁLCULOS!J143</f>
        <v>175</v>
      </c>
      <c r="G161" s="25"/>
    </row>
    <row r="162" customFormat="false" ht="15.75" hidden="false" customHeight="false" outlineLevel="0" collapsed="false">
      <c r="B162" s="25"/>
      <c r="C162" s="25" t="s">
        <v>89</v>
      </c>
      <c r="D162" s="25"/>
      <c r="E162" s="25"/>
      <c r="F162" s="30" t="n">
        <f aca="false">CÁLCULOS!J144</f>
        <v>291.666666666667</v>
      </c>
      <c r="G162" s="25"/>
    </row>
    <row r="163" customFormat="false" ht="15.75" hidden="false" customHeight="false" outlineLevel="0" collapsed="false">
      <c r="B163" s="25"/>
      <c r="C163" s="25" t="s">
        <v>90</v>
      </c>
      <c r="D163" s="25"/>
      <c r="E163" s="25"/>
      <c r="F163" s="25"/>
      <c r="G163" s="34" t="n">
        <f aca="false">F159+F160+F161</f>
        <v>800</v>
      </c>
    </row>
    <row r="164" customFormat="false" ht="15.75" hidden="false" customHeight="false" outlineLevel="0" collapsed="false">
      <c r="B164" s="25"/>
      <c r="C164" s="25" t="s">
        <v>91</v>
      </c>
      <c r="D164" s="25"/>
      <c r="E164" s="25"/>
      <c r="F164" s="25"/>
      <c r="G164" s="39" t="n">
        <f aca="false">F162</f>
        <v>291.666666666667</v>
      </c>
    </row>
    <row r="165" customFormat="false" ht="15.75" hidden="false" customHeight="false" outlineLevel="0" collapsed="false">
      <c r="B165" s="25"/>
      <c r="C165" s="33" t="s">
        <v>139</v>
      </c>
      <c r="D165" s="25"/>
      <c r="E165" s="25"/>
      <c r="F165" s="25"/>
      <c r="G165" s="25"/>
    </row>
    <row r="166" customFormat="false" ht="15.75" hidden="false" customHeight="false" outlineLevel="0" collapsed="false">
      <c r="B166" s="27" t="n">
        <f aca="false">B158</f>
        <v>46050</v>
      </c>
      <c r="C166" s="28" t="s">
        <v>140</v>
      </c>
      <c r="D166" s="25"/>
      <c r="E166" s="25"/>
      <c r="F166" s="25"/>
      <c r="G166" s="25"/>
    </row>
    <row r="167" customFormat="false" ht="15.75" hidden="false" customHeight="false" outlineLevel="0" collapsed="false">
      <c r="B167" s="29"/>
      <c r="C167" s="25" t="s">
        <v>94</v>
      </c>
      <c r="D167" s="29"/>
      <c r="E167" s="29"/>
      <c r="F167" s="39" t="n">
        <f aca="false">CÁLCULOS!J145</f>
        <v>1091.66666666667</v>
      </c>
      <c r="G167" s="25"/>
    </row>
    <row r="168" customFormat="false" ht="15.75" hidden="false" customHeight="false" outlineLevel="0" collapsed="false">
      <c r="B168" s="29"/>
      <c r="C168" s="25" t="s">
        <v>95</v>
      </c>
      <c r="D168" s="29"/>
      <c r="E168" s="29"/>
      <c r="F168" s="25"/>
      <c r="G168" s="39" t="n">
        <f aca="false">F159</f>
        <v>250</v>
      </c>
    </row>
    <row r="169" customFormat="false" ht="15.75" hidden="false" customHeight="false" outlineLevel="0" collapsed="false">
      <c r="B169" s="29"/>
      <c r="C169" s="25" t="s">
        <v>96</v>
      </c>
      <c r="D169" s="29"/>
      <c r="E169" s="29"/>
      <c r="F169" s="25"/>
      <c r="G169" s="39" t="n">
        <f aca="false">F160</f>
        <v>375</v>
      </c>
    </row>
    <row r="170" customFormat="false" ht="15.75" hidden="false" customHeight="false" outlineLevel="0" collapsed="false">
      <c r="B170" s="29"/>
      <c r="C170" s="25" t="s">
        <v>97</v>
      </c>
      <c r="D170" s="29"/>
      <c r="E170" s="29"/>
      <c r="F170" s="25"/>
      <c r="G170" s="39" t="n">
        <f aca="false">F161</f>
        <v>175</v>
      </c>
    </row>
    <row r="171" customFormat="false" ht="15.75" hidden="false" customHeight="false" outlineLevel="0" collapsed="false">
      <c r="B171" s="29"/>
      <c r="C171" s="25" t="s">
        <v>98</v>
      </c>
      <c r="D171" s="29"/>
      <c r="E171" s="29"/>
      <c r="F171" s="25"/>
      <c r="G171" s="39" t="n">
        <f aca="false">F162</f>
        <v>291.666666666667</v>
      </c>
    </row>
    <row r="172" customFormat="false" ht="15.75" hidden="false" customHeight="false" outlineLevel="0" collapsed="false">
      <c r="B172" s="29"/>
      <c r="C172" s="33" t="s">
        <v>141</v>
      </c>
      <c r="D172" s="29"/>
      <c r="E172" s="29"/>
      <c r="F172" s="29"/>
      <c r="G172" s="29"/>
    </row>
    <row r="173" customFormat="false" ht="15.75" hidden="false" customHeight="false" outlineLevel="0" collapsed="false">
      <c r="B173" s="27" t="n">
        <f aca="false">B166</f>
        <v>46050</v>
      </c>
      <c r="C173" s="28" t="s">
        <v>142</v>
      </c>
      <c r="D173" s="29"/>
      <c r="E173" s="29"/>
      <c r="F173" s="29"/>
      <c r="G173" s="29"/>
    </row>
    <row r="174" customFormat="false" ht="15.75" hidden="false" customHeight="false" outlineLevel="0" collapsed="false">
      <c r="B174" s="25"/>
      <c r="C174" s="25" t="s">
        <v>61</v>
      </c>
      <c r="D174" s="25"/>
      <c r="E174" s="25"/>
      <c r="F174" s="34" t="n">
        <f aca="false">CÁLCULOS!G145</f>
        <v>272.916666666667</v>
      </c>
      <c r="G174" s="25"/>
    </row>
    <row r="175" customFormat="false" ht="15.75" hidden="false" customHeight="false" outlineLevel="0" collapsed="false">
      <c r="B175" s="25"/>
      <c r="C175" s="25" t="s">
        <v>62</v>
      </c>
      <c r="D175" s="25"/>
      <c r="E175" s="25"/>
      <c r="F175" s="34" t="n">
        <f aca="false">CÁLCULOS!H68</f>
        <v>327.5</v>
      </c>
      <c r="G175" s="25"/>
    </row>
    <row r="176" customFormat="false" ht="15.75" hidden="false" customHeight="false" outlineLevel="0" collapsed="false">
      <c r="B176" s="25"/>
      <c r="C176" s="25" t="s">
        <v>63</v>
      </c>
      <c r="D176" s="25"/>
      <c r="E176" s="25"/>
      <c r="F176" s="34" t="n">
        <f aca="false">CÁLCULOS!I145</f>
        <v>491.25</v>
      </c>
      <c r="G176" s="25"/>
    </row>
    <row r="177" customFormat="false" ht="15.75" hidden="false" customHeight="false" outlineLevel="0" collapsed="false">
      <c r="B177" s="25"/>
      <c r="C177" s="25" t="s">
        <v>101</v>
      </c>
      <c r="D177" s="25"/>
      <c r="E177" s="25"/>
      <c r="F177" s="25"/>
      <c r="G177" s="34" t="n">
        <f aca="false">F167</f>
        <v>1091.66666666667</v>
      </c>
    </row>
    <row r="178" customFormat="false" ht="15.75" hidden="false" customHeight="false" outlineLevel="0" collapsed="false">
      <c r="B178" s="25"/>
      <c r="C178" s="33" t="s">
        <v>143</v>
      </c>
      <c r="D178" s="25"/>
      <c r="E178" s="25"/>
      <c r="F178" s="25"/>
      <c r="G178" s="25"/>
    </row>
    <row r="179" customFormat="false" ht="15.75" hidden="false" customHeight="false" outlineLevel="0" collapsed="false">
      <c r="F179" s="41"/>
    </row>
  </sheetData>
  <mergeCells count="2">
    <mergeCell ref="B2:G2"/>
    <mergeCell ref="B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00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O170" activeCellId="0" sqref="O170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1.5"/>
    <col collapsed="false" customWidth="true" hidden="false" outlineLevel="0" max="2" min="2" style="1" width="11.33"/>
    <col collapsed="false" customWidth="true" hidden="false" outlineLevel="0" max="3" min="3" style="1" width="28.51"/>
    <col collapsed="false" customWidth="true" hidden="false" outlineLevel="0" max="5" min="4" style="1" width="4.84"/>
    <col collapsed="false" customWidth="true" hidden="false" outlineLevel="0" max="6" min="6" style="1" width="14.51"/>
    <col collapsed="false" customWidth="true" hidden="false" outlineLevel="0" max="7" min="7" style="1" width="15"/>
    <col collapsed="false" customWidth="true" hidden="false" outlineLevel="0" max="8" min="8" style="1" width="15.66"/>
    <col collapsed="false" customWidth="true" hidden="false" outlineLevel="0" max="9" min="9" style="1" width="6.85"/>
    <col collapsed="false" customWidth="true" hidden="false" outlineLevel="0" max="11" min="11" style="1" width="25.17"/>
    <col collapsed="false" customWidth="true" hidden="false" outlineLevel="0" max="12" min="12" style="1" width="4"/>
    <col collapsed="false" customWidth="true" hidden="false" outlineLevel="0" max="13" min="13" style="1" width="4.84"/>
    <col collapsed="false" customWidth="true" hidden="false" outlineLevel="0" max="14" min="14" style="1" width="15.66"/>
    <col collapsed="false" customWidth="true" hidden="false" outlineLevel="0" max="15" min="15" style="1" width="14.51"/>
    <col collapsed="false" customWidth="true" hidden="false" outlineLevel="0" max="16" min="16" style="1" width="14.33"/>
    <col collapsed="false" customWidth="true" hidden="false" outlineLevel="0" max="17" min="17" style="1" width="13.33"/>
  </cols>
  <sheetData>
    <row r="2" customFormat="false" ht="16.5" hidden="false" customHeight="true" outlineLevel="0" collapsed="false"/>
    <row r="3" customFormat="false" ht="15.75" hidden="false" customHeight="false" outlineLevel="0" collapsed="false">
      <c r="B3" s="42" t="s">
        <v>144</v>
      </c>
      <c r="C3" s="42"/>
      <c r="D3" s="42"/>
      <c r="E3" s="42"/>
      <c r="F3" s="42"/>
      <c r="G3" s="42"/>
      <c r="H3" s="42"/>
      <c r="J3" s="42" t="s">
        <v>144</v>
      </c>
      <c r="K3" s="42"/>
      <c r="L3" s="42"/>
      <c r="M3" s="42"/>
      <c r="N3" s="42"/>
      <c r="O3" s="42"/>
      <c r="P3" s="42"/>
    </row>
    <row r="4" customFormat="false" ht="15.75" hidden="false" customHeight="false" outlineLevel="0" collapsed="false">
      <c r="B4" s="43" t="s">
        <v>145</v>
      </c>
      <c r="C4" s="43"/>
      <c r="D4" s="43"/>
      <c r="E4" s="43"/>
      <c r="F4" s="43"/>
      <c r="G4" s="43"/>
      <c r="H4" s="43"/>
      <c r="J4" s="43" t="s">
        <v>145</v>
      </c>
      <c r="K4" s="43"/>
      <c r="L4" s="43"/>
      <c r="M4" s="43"/>
      <c r="N4" s="43"/>
      <c r="O4" s="43"/>
      <c r="P4" s="43"/>
    </row>
    <row r="5" customFormat="false" ht="15.75" hidden="false" customHeight="false" outlineLevel="0" collapsed="false">
      <c r="B5" s="44" t="s">
        <v>146</v>
      </c>
      <c r="C5" s="45" t="str">
        <f aca="false">'LIBRO DIARIO'!C8</f>
        <v>BANCOS</v>
      </c>
      <c r="D5" s="45"/>
      <c r="E5" s="45"/>
      <c r="F5" s="45"/>
      <c r="G5" s="45" t="s">
        <v>147</v>
      </c>
      <c r="H5" s="46" t="n">
        <v>1</v>
      </c>
      <c r="J5" s="44" t="s">
        <v>146</v>
      </c>
      <c r="K5" s="45" t="str">
        <f aca="false">'LIBRO DIARIO'!C9</f>
        <v>INV. MATERIA PRIMA DIRECTA</v>
      </c>
      <c r="L5" s="45"/>
      <c r="M5" s="45"/>
      <c r="N5" s="45"/>
      <c r="O5" s="45" t="s">
        <v>147</v>
      </c>
      <c r="P5" s="46" t="n">
        <v>2</v>
      </c>
    </row>
    <row r="6" customFormat="false" ht="15.75" hidden="false" customHeight="false" outlineLevel="0" collapsed="false">
      <c r="B6" s="47" t="s">
        <v>44</v>
      </c>
      <c r="C6" s="33" t="s">
        <v>45</v>
      </c>
      <c r="D6" s="33" t="s">
        <v>148</v>
      </c>
      <c r="E6" s="33" t="s">
        <v>149</v>
      </c>
      <c r="F6" s="33" t="s">
        <v>150</v>
      </c>
      <c r="G6" s="33" t="s">
        <v>49</v>
      </c>
      <c r="H6" s="48" t="s">
        <v>151</v>
      </c>
      <c r="J6" s="47" t="s">
        <v>44</v>
      </c>
      <c r="K6" s="33" t="s">
        <v>45</v>
      </c>
      <c r="L6" s="33" t="s">
        <v>148</v>
      </c>
      <c r="M6" s="33" t="s">
        <v>149</v>
      </c>
      <c r="N6" s="33" t="s">
        <v>150</v>
      </c>
      <c r="O6" s="33" t="s">
        <v>49</v>
      </c>
      <c r="P6" s="48" t="s">
        <v>151</v>
      </c>
    </row>
    <row r="7" customFormat="false" ht="15.75" hidden="false" customHeight="false" outlineLevel="0" collapsed="false">
      <c r="B7" s="49" t="n">
        <f aca="false">'LIBRO DIARIO'!B7</f>
        <v>46027</v>
      </c>
      <c r="C7" s="33" t="s">
        <v>152</v>
      </c>
      <c r="D7" s="33" t="n">
        <v>1</v>
      </c>
      <c r="E7" s="33" t="n">
        <v>1</v>
      </c>
      <c r="F7" s="50" t="n">
        <f aca="false">'LIBRO DIARIO'!F8</f>
        <v>80000</v>
      </c>
      <c r="G7" s="50"/>
      <c r="H7" s="51" t="n">
        <f aca="false">F7-G7</f>
        <v>80000</v>
      </c>
      <c r="J7" s="49" t="n">
        <f aca="false">'LIBRO DIARIO'!B7</f>
        <v>46027</v>
      </c>
      <c r="K7" s="33" t="s">
        <v>153</v>
      </c>
      <c r="L7" s="33" t="n">
        <v>1</v>
      </c>
      <c r="M7" s="33" t="n">
        <v>1</v>
      </c>
      <c r="N7" s="50" t="n">
        <f aca="false">'LIBRO DIARIO'!F9</f>
        <v>23400</v>
      </c>
      <c r="O7" s="50"/>
      <c r="P7" s="51" t="n">
        <f aca="false">N7-O7</f>
        <v>23400</v>
      </c>
    </row>
    <row r="8" customFormat="false" ht="15.75" hidden="false" customHeight="false" outlineLevel="0" collapsed="false">
      <c r="B8" s="49" t="n">
        <f aca="false">'LIBRO DIARIO'!B27</f>
        <v>46031</v>
      </c>
      <c r="C8" s="33" t="s">
        <v>154</v>
      </c>
      <c r="D8" s="33" t="n">
        <v>1</v>
      </c>
      <c r="E8" s="33" t="n">
        <v>4</v>
      </c>
      <c r="F8" s="33"/>
      <c r="G8" s="50" t="n">
        <f aca="false">'LIBRO DIARIO'!G34</f>
        <v>4313.98116145833</v>
      </c>
      <c r="H8" s="51" t="n">
        <f aca="false">(H7+F8)-G8</f>
        <v>75686.0188385417</v>
      </c>
      <c r="J8" s="49" t="n">
        <f aca="false">'LIBRO DIARIO'!B15</f>
        <v>46027</v>
      </c>
      <c r="K8" s="33" t="s">
        <v>155</v>
      </c>
      <c r="L8" s="33" t="n">
        <v>1</v>
      </c>
      <c r="M8" s="33" t="n">
        <v>2</v>
      </c>
      <c r="N8" s="50" t="n">
        <f aca="false">'LIBRO DIARIO'!F16</f>
        <v>88447.92</v>
      </c>
      <c r="O8" s="33"/>
      <c r="P8" s="51" t="n">
        <f aca="false">(P7+N8)-O8</f>
        <v>111847.92</v>
      </c>
    </row>
    <row r="9" customFormat="false" ht="15.75" hidden="false" customHeight="false" outlineLevel="0" collapsed="false">
      <c r="B9" s="49" t="n">
        <f aca="false">'[1]LIBRO DIARIO'!B26</f>
        <v>46030</v>
      </c>
      <c r="C9" s="33" t="s">
        <v>156</v>
      </c>
      <c r="D9" s="33" t="n">
        <v>1</v>
      </c>
      <c r="E9" s="33" t="n">
        <v>5</v>
      </c>
      <c r="F9" s="50" t="n">
        <f aca="false">'[1]LIBRO DIARIO'!F27</f>
        <v>83661.1111111111</v>
      </c>
      <c r="G9" s="33"/>
      <c r="H9" s="51" t="n">
        <f aca="false">(H8+F9)-G9</f>
        <v>159347.129949653</v>
      </c>
      <c r="J9" s="49" t="n">
        <f aca="false">'LIBRO DIARIO'!B20</f>
        <v>46027</v>
      </c>
      <c r="K9" s="33" t="s">
        <v>157</v>
      </c>
      <c r="L9" s="33" t="n">
        <v>1</v>
      </c>
      <c r="M9" s="33" t="n">
        <v>3</v>
      </c>
      <c r="N9" s="33"/>
      <c r="O9" s="50" t="n">
        <f aca="false">'LIBRO DIARIO'!G24</f>
        <v>77254.6423789236</v>
      </c>
      <c r="P9" s="51" t="n">
        <f aca="false">(P8+N9)-O9</f>
        <v>34593.2776210765</v>
      </c>
      <c r="Q9" s="1" t="n">
        <v>79698.93</v>
      </c>
    </row>
    <row r="10" customFormat="false" ht="15.75" hidden="false" customHeight="false" outlineLevel="0" collapsed="false">
      <c r="B10" s="49" t="n">
        <f aca="false">'[1]LIBRO DIARIO'!B26</f>
        <v>46030</v>
      </c>
      <c r="C10" s="33" t="s">
        <v>158</v>
      </c>
      <c r="D10" s="33" t="n">
        <v>1</v>
      </c>
      <c r="E10" s="33" t="n">
        <v>7</v>
      </c>
      <c r="F10" s="33"/>
      <c r="G10" s="50" t="n">
        <f aca="false">'[1]LIBRO DIARIO'!G36</f>
        <v>81987.8888888889</v>
      </c>
      <c r="H10" s="51" t="n">
        <f aca="false">(H9+F10)-G10</f>
        <v>77359.2410607639</v>
      </c>
      <c r="J10" s="49" t="n">
        <f aca="false">'[1]LIBRO DIARIO'!B42</f>
        <v>46035</v>
      </c>
      <c r="K10" s="33" t="s">
        <v>155</v>
      </c>
      <c r="L10" s="33" t="n">
        <v>1</v>
      </c>
      <c r="M10" s="33" t="n">
        <v>8</v>
      </c>
      <c r="N10" s="50" t="n">
        <f aca="false">'[1]LIBRO DIARIO'!F43</f>
        <v>67500</v>
      </c>
      <c r="O10" s="33"/>
      <c r="P10" s="51" t="n">
        <f aca="false">(P9+N10)-O10</f>
        <v>102093.277621076</v>
      </c>
    </row>
    <row r="11" customFormat="false" ht="15.75" hidden="false" customHeight="false" outlineLevel="0" collapsed="false">
      <c r="B11" s="49" t="n">
        <f aca="false">'[1]LIBRO DIARIO'!B46</f>
        <v>46037</v>
      </c>
      <c r="C11" s="33" t="s">
        <v>156</v>
      </c>
      <c r="D11" s="33" t="n">
        <v>1</v>
      </c>
      <c r="E11" s="33" t="n">
        <v>9</v>
      </c>
      <c r="F11" s="50" t="n">
        <f aca="false">'[1]LIBRO DIARIO'!F47</f>
        <v>44624.0348583878</v>
      </c>
      <c r="G11" s="33"/>
      <c r="H11" s="51" t="n">
        <f aca="false">(H10+F11)-G11</f>
        <v>121983.275919152</v>
      </c>
      <c r="J11" s="49" t="n">
        <f aca="false">'[1]LIBRO DIARIO'!B46</f>
        <v>46037</v>
      </c>
      <c r="K11" s="33" t="s">
        <v>159</v>
      </c>
      <c r="L11" s="33" t="n">
        <v>1</v>
      </c>
      <c r="M11" s="33" t="n">
        <v>10</v>
      </c>
      <c r="N11" s="33"/>
      <c r="O11" s="50" t="n">
        <f aca="false">'[1]LIBRO DIARIO'!G53</f>
        <v>69725.0544662309</v>
      </c>
      <c r="P11" s="51" t="n">
        <f aca="false">(P10+N11)-O11</f>
        <v>32368.2231548455</v>
      </c>
    </row>
    <row r="12" customFormat="false" ht="16.5" hidden="false" customHeight="true" outlineLevel="0" collapsed="false">
      <c r="B12" s="52"/>
      <c r="C12" s="53"/>
      <c r="D12" s="53"/>
      <c r="E12" s="53"/>
      <c r="F12" s="54"/>
      <c r="G12" s="54"/>
      <c r="H12" s="55"/>
      <c r="J12" s="52"/>
      <c r="K12" s="53"/>
      <c r="L12" s="53"/>
      <c r="M12" s="53"/>
      <c r="N12" s="54"/>
      <c r="O12" s="54"/>
      <c r="P12" s="55"/>
    </row>
    <row r="13" customFormat="false" ht="16.5" hidden="false" customHeight="true" outlineLevel="0" collapsed="false">
      <c r="F13" s="56" t="n">
        <f aca="false">SUM(F7:F11)</f>
        <v>208285.145969499</v>
      </c>
      <c r="G13" s="57" t="n">
        <f aca="false">SUM(G7:G11)</f>
        <v>86301.8700503472</v>
      </c>
      <c r="H13" s="58" t="n">
        <f aca="false">SUM(H7:H11)</f>
        <v>514375.66576811</v>
      </c>
      <c r="N13" s="59" t="n">
        <f aca="false">SUM(N7:N12)</f>
        <v>179347.92</v>
      </c>
      <c r="O13" s="60" t="n">
        <f aca="false">SUM(O7:O12)</f>
        <v>146979.696845155</v>
      </c>
      <c r="P13" s="61" t="n">
        <f aca="false">SUM(P7:P12)</f>
        <v>304302.698396998</v>
      </c>
    </row>
    <row r="15" customFormat="false" ht="16.5" hidden="false" customHeight="true" outlineLevel="0" collapsed="false"/>
    <row r="16" customFormat="false" ht="15.75" hidden="false" customHeight="false" outlineLevel="0" collapsed="false">
      <c r="B16" s="42" t="s">
        <v>144</v>
      </c>
      <c r="C16" s="42"/>
      <c r="D16" s="42"/>
      <c r="E16" s="42"/>
      <c r="F16" s="42"/>
      <c r="G16" s="42"/>
      <c r="H16" s="42"/>
      <c r="J16" s="42" t="s">
        <v>144</v>
      </c>
      <c r="K16" s="42"/>
      <c r="L16" s="42"/>
      <c r="M16" s="42"/>
      <c r="N16" s="42"/>
      <c r="O16" s="42"/>
      <c r="P16" s="42"/>
    </row>
    <row r="17" customFormat="false" ht="15.75" hidden="false" customHeight="false" outlineLevel="0" collapsed="false">
      <c r="B17" s="43" t="s">
        <v>145</v>
      </c>
      <c r="C17" s="43"/>
      <c r="D17" s="43"/>
      <c r="E17" s="43"/>
      <c r="F17" s="43"/>
      <c r="G17" s="43"/>
      <c r="H17" s="43"/>
      <c r="J17" s="43" t="s">
        <v>145</v>
      </c>
      <c r="K17" s="43"/>
      <c r="L17" s="43"/>
      <c r="M17" s="43"/>
      <c r="N17" s="43"/>
      <c r="O17" s="43"/>
      <c r="P17" s="43"/>
    </row>
    <row r="18" customFormat="false" ht="15.75" hidden="false" customHeight="false" outlineLevel="0" collapsed="false">
      <c r="B18" s="44" t="s">
        <v>146</v>
      </c>
      <c r="C18" s="45" t="str">
        <f aca="false">'LIBRO DIARIO'!C10</f>
        <v>INV. MATERIA PRIMA INDIRECTA</v>
      </c>
      <c r="D18" s="45"/>
      <c r="E18" s="45"/>
      <c r="F18" s="45"/>
      <c r="G18" s="45" t="s">
        <v>147</v>
      </c>
      <c r="H18" s="46" t="n">
        <v>3</v>
      </c>
      <c r="J18" s="44" t="s">
        <v>146</v>
      </c>
      <c r="K18" s="45" t="str">
        <f aca="false">'LIBRO DIARIO'!C11</f>
        <v>MAQUINARIA</v>
      </c>
      <c r="L18" s="45"/>
      <c r="M18" s="45"/>
      <c r="N18" s="45"/>
      <c r="O18" s="45" t="s">
        <v>147</v>
      </c>
      <c r="P18" s="46" t="n">
        <v>4</v>
      </c>
    </row>
    <row r="19" customFormat="false" ht="15.75" hidden="false" customHeight="false" outlineLevel="0" collapsed="false">
      <c r="B19" s="47" t="s">
        <v>44</v>
      </c>
      <c r="C19" s="33" t="s">
        <v>45</v>
      </c>
      <c r="D19" s="33" t="s">
        <v>148</v>
      </c>
      <c r="E19" s="33" t="s">
        <v>149</v>
      </c>
      <c r="F19" s="33" t="s">
        <v>150</v>
      </c>
      <c r="G19" s="33" t="s">
        <v>49</v>
      </c>
      <c r="H19" s="48" t="s">
        <v>151</v>
      </c>
      <c r="J19" s="47" t="s">
        <v>44</v>
      </c>
      <c r="K19" s="33" t="s">
        <v>45</v>
      </c>
      <c r="L19" s="33" t="s">
        <v>148</v>
      </c>
      <c r="M19" s="33" t="s">
        <v>149</v>
      </c>
      <c r="N19" s="33" t="s">
        <v>150</v>
      </c>
      <c r="O19" s="33" t="s">
        <v>49</v>
      </c>
      <c r="P19" s="48" t="s">
        <v>151</v>
      </c>
    </row>
    <row r="20" customFormat="false" ht="15.75" hidden="false" customHeight="false" outlineLevel="0" collapsed="false">
      <c r="B20" s="49" t="n">
        <f aca="false">'LIBRO DIARIO'!B7</f>
        <v>46027</v>
      </c>
      <c r="C20" s="33" t="s">
        <v>152</v>
      </c>
      <c r="D20" s="33" t="n">
        <v>1</v>
      </c>
      <c r="E20" s="33" t="n">
        <v>1</v>
      </c>
      <c r="F20" s="50" t="n">
        <f aca="false">'LIBRO DIARIO'!F10</f>
        <v>300</v>
      </c>
      <c r="G20" s="50"/>
      <c r="H20" s="51" t="n">
        <f aca="false">F20-G20</f>
        <v>300</v>
      </c>
      <c r="J20" s="49" t="n">
        <f aca="false">'LIBRO DIARIO'!B7</f>
        <v>46027</v>
      </c>
      <c r="K20" s="33" t="s">
        <v>152</v>
      </c>
      <c r="L20" s="33" t="n">
        <v>1</v>
      </c>
      <c r="M20" s="33" t="n">
        <v>1</v>
      </c>
      <c r="N20" s="50" t="n">
        <f aca="false">'LIBRO DIARIO'!F11</f>
        <v>70000</v>
      </c>
      <c r="O20" s="50"/>
      <c r="P20" s="51" t="n">
        <f aca="false">N20-O20</f>
        <v>70000</v>
      </c>
    </row>
    <row r="21" customFormat="false" ht="15.75" hidden="false" customHeight="false" outlineLevel="0" collapsed="false">
      <c r="B21" s="49" t="n">
        <f aca="false">'LIBRO DIARIO'!B15</f>
        <v>46027</v>
      </c>
      <c r="C21" s="33" t="s">
        <v>155</v>
      </c>
      <c r="D21" s="33" t="n">
        <v>1</v>
      </c>
      <c r="E21" s="33" t="n">
        <v>2</v>
      </c>
      <c r="F21" s="50" t="n">
        <f aca="false">'LIBRO DIARIO'!F17</f>
        <v>0</v>
      </c>
      <c r="G21" s="33"/>
      <c r="H21" s="51" t="n">
        <f aca="false">(H20+F21)-G21</f>
        <v>300</v>
      </c>
      <c r="J21" s="49" t="n">
        <f aca="false">'[1]LIBRO DIARIO'!B15</f>
        <v>46027</v>
      </c>
      <c r="K21" s="33" t="s">
        <v>160</v>
      </c>
      <c r="L21" s="33" t="n">
        <v>1</v>
      </c>
      <c r="M21" s="33" t="n">
        <v>3</v>
      </c>
      <c r="N21" s="33"/>
      <c r="O21" s="50" t="n">
        <f aca="false">'[1]LIBRO DIARIO'!G17</f>
        <v>14850</v>
      </c>
      <c r="P21" s="51" t="n">
        <f aca="false">(P20+N21)-O21</f>
        <v>55150</v>
      </c>
    </row>
    <row r="22" customFormat="false" ht="15.75" hidden="false" customHeight="false" outlineLevel="0" collapsed="false">
      <c r="B22" s="49" t="n">
        <f aca="false">'LIBRO DIARIO'!B20</f>
        <v>46027</v>
      </c>
      <c r="C22" s="33" t="s">
        <v>161</v>
      </c>
      <c r="D22" s="33" t="n">
        <v>1</v>
      </c>
      <c r="E22" s="33" t="n">
        <v>3</v>
      </c>
      <c r="F22" s="33"/>
      <c r="G22" s="62" t="n">
        <f aca="false">'LIBRO DIARIO'!G25</f>
        <v>76</v>
      </c>
      <c r="H22" s="51" t="n">
        <f aca="false">(H21+F22)-G22</f>
        <v>224</v>
      </c>
      <c r="J22" s="49" t="n">
        <f aca="false">'[1]LIBRO DIARIO'!B20</f>
        <v>46028</v>
      </c>
      <c r="K22" s="33" t="s">
        <v>162</v>
      </c>
      <c r="L22" s="33" t="n">
        <v>1</v>
      </c>
      <c r="M22" s="33" t="n">
        <v>3</v>
      </c>
      <c r="N22" s="33"/>
      <c r="O22" s="50" t="n">
        <f aca="false">'[1]LIBRO DIARIO'!G24</f>
        <v>5800</v>
      </c>
      <c r="P22" s="51" t="n">
        <f aca="false">(P21+N22)-O22</f>
        <v>49350</v>
      </c>
    </row>
    <row r="23" customFormat="false" ht="15.75" hidden="false" customHeight="false" outlineLevel="0" collapsed="false">
      <c r="B23" s="47"/>
      <c r="C23" s="33"/>
      <c r="D23" s="33"/>
      <c r="E23" s="33"/>
      <c r="F23" s="33"/>
      <c r="G23" s="33"/>
      <c r="H23" s="48"/>
      <c r="J23" s="49" t="n">
        <f aca="false">'[1]LIBRO DIARIO'!B26</f>
        <v>46030</v>
      </c>
      <c r="K23" s="33" t="s">
        <v>163</v>
      </c>
      <c r="L23" s="33" t="n">
        <v>1</v>
      </c>
      <c r="M23" s="33" t="n">
        <v>7</v>
      </c>
      <c r="N23" s="50" t="n">
        <f aca="false">'[1]LIBRO DIARIO'!F35</f>
        <v>81987.8888888889</v>
      </c>
      <c r="O23" s="33"/>
      <c r="P23" s="51" t="n">
        <f aca="false">(P22+N23)-O23</f>
        <v>131337.888888889</v>
      </c>
    </row>
    <row r="24" customFormat="false" ht="15.75" hidden="false" customHeight="false" outlineLevel="0" collapsed="false">
      <c r="B24" s="47"/>
      <c r="C24" s="33"/>
      <c r="D24" s="33"/>
      <c r="E24" s="33"/>
      <c r="F24" s="33"/>
      <c r="G24" s="33"/>
      <c r="H24" s="48"/>
      <c r="J24" s="49" t="n">
        <f aca="false">'[1]LIBRO DIARIO'!B38</f>
        <v>46034</v>
      </c>
      <c r="K24" s="33" t="s">
        <v>164</v>
      </c>
      <c r="L24" s="33" t="n">
        <v>1</v>
      </c>
      <c r="M24" s="33" t="n">
        <v>5</v>
      </c>
      <c r="N24" s="33"/>
      <c r="O24" s="50" t="n">
        <f aca="false">'[1]LIBRO DIARIO'!G40</f>
        <v>22000</v>
      </c>
      <c r="P24" s="51" t="n">
        <f aca="false">(P23+N24)-O24</f>
        <v>109337.888888889</v>
      </c>
    </row>
    <row r="25" customFormat="false" ht="16.5" hidden="false" customHeight="true" outlineLevel="0" collapsed="false">
      <c r="B25" s="52"/>
      <c r="C25" s="53"/>
      <c r="D25" s="53"/>
      <c r="E25" s="53"/>
      <c r="F25" s="53"/>
      <c r="G25" s="53"/>
      <c r="H25" s="63"/>
      <c r="J25" s="64" t="n">
        <f aca="false">'[1]LIBRO DIARIO'!B55</f>
        <v>46052</v>
      </c>
      <c r="K25" s="54" t="s">
        <v>165</v>
      </c>
      <c r="L25" s="54" t="n">
        <v>1</v>
      </c>
      <c r="M25" s="54" t="n">
        <v>11</v>
      </c>
      <c r="N25" s="54"/>
      <c r="O25" s="65" t="n">
        <f aca="false">'[1]LIBRO DIARIO'!G57</f>
        <v>1200</v>
      </c>
      <c r="P25" s="66" t="n">
        <f aca="false">(P24+N25)-O25</f>
        <v>108137.888888889</v>
      </c>
    </row>
    <row r="26" customFormat="false" ht="16.5" hidden="false" customHeight="true" outlineLevel="0" collapsed="false">
      <c r="B26" s="67"/>
      <c r="C26" s="67"/>
      <c r="D26" s="67"/>
      <c r="E26" s="67"/>
      <c r="F26" s="68"/>
      <c r="G26" s="68"/>
      <c r="H26" s="69"/>
      <c r="J26" s="70" t="n">
        <f aca="false">'[1]LIBRO DIARIO'!B59</f>
        <v>46052</v>
      </c>
      <c r="K26" s="71" t="s">
        <v>166</v>
      </c>
      <c r="L26" s="71" t="n">
        <v>1</v>
      </c>
      <c r="M26" s="71" t="n">
        <v>12</v>
      </c>
      <c r="N26" s="71"/>
      <c r="O26" s="72" t="n">
        <f aca="false">'[1]LIBRO DIARIO'!G62</f>
        <v>5984.04599026144</v>
      </c>
      <c r="P26" s="66" t="n">
        <f aca="false">(P25+N26)-O26</f>
        <v>102153.842898627</v>
      </c>
    </row>
    <row r="27" customFormat="false" ht="16.5" hidden="false" customHeight="true" outlineLevel="0" collapsed="false">
      <c r="F27" s="59" t="n">
        <f aca="false">SUM(F20:F25)</f>
        <v>300</v>
      </c>
      <c r="G27" s="59" t="n">
        <f aca="false">SUM(G20:G25)</f>
        <v>76</v>
      </c>
      <c r="H27" s="60" t="n">
        <f aca="false">SUM(H20:H25)</f>
        <v>824</v>
      </c>
      <c r="N27" s="73" t="n">
        <f aca="false">SUM(N20:N26)</f>
        <v>151987.888888889</v>
      </c>
      <c r="O27" s="73" t="n">
        <f aca="false">SUM(O20:O26)</f>
        <v>49834.0459902614</v>
      </c>
      <c r="P27" s="60" t="n">
        <f aca="false">SUM(P20:P26)</f>
        <v>625467.509565294</v>
      </c>
    </row>
    <row r="29" customFormat="false" ht="16.5" hidden="false" customHeight="true" outlineLevel="0" collapsed="false"/>
    <row r="30" customFormat="false" ht="15.75" hidden="false" customHeight="false" outlineLevel="0" collapsed="false">
      <c r="B30" s="42" t="s">
        <v>144</v>
      </c>
      <c r="C30" s="42"/>
      <c r="D30" s="42"/>
      <c r="E30" s="42"/>
      <c r="F30" s="42"/>
      <c r="G30" s="42"/>
      <c r="H30" s="42"/>
      <c r="J30" s="42" t="s">
        <v>144</v>
      </c>
      <c r="K30" s="42"/>
      <c r="L30" s="42"/>
      <c r="M30" s="42"/>
      <c r="N30" s="42"/>
      <c r="O30" s="42"/>
      <c r="P30" s="42"/>
    </row>
    <row r="31" customFormat="false" ht="15.75" hidden="false" customHeight="false" outlineLevel="0" collapsed="false">
      <c r="B31" s="43" t="s">
        <v>145</v>
      </c>
      <c r="C31" s="43"/>
      <c r="D31" s="43"/>
      <c r="E31" s="43"/>
      <c r="F31" s="43"/>
      <c r="G31" s="43"/>
      <c r="H31" s="43"/>
      <c r="J31" s="43" t="s">
        <v>145</v>
      </c>
      <c r="K31" s="43"/>
      <c r="L31" s="43"/>
      <c r="M31" s="43"/>
      <c r="N31" s="43"/>
      <c r="O31" s="43"/>
      <c r="P31" s="43"/>
    </row>
    <row r="32" customFormat="false" ht="15.75" hidden="false" customHeight="false" outlineLevel="0" collapsed="false">
      <c r="B32" s="44" t="s">
        <v>146</v>
      </c>
      <c r="C32" s="45" t="str">
        <f aca="false">'LIBRO DIARIO'!C12</f>
        <v>          PROVEEDORES</v>
      </c>
      <c r="D32" s="45"/>
      <c r="E32" s="45"/>
      <c r="F32" s="45"/>
      <c r="G32" s="45" t="s">
        <v>147</v>
      </c>
      <c r="H32" s="46" t="n">
        <v>5</v>
      </c>
      <c r="J32" s="44" t="s">
        <v>146</v>
      </c>
      <c r="K32" s="45" t="str">
        <f aca="false">'LIBRO DIARIO'!C13</f>
        <v>          CAPITAL</v>
      </c>
      <c r="L32" s="45"/>
      <c r="M32" s="45"/>
      <c r="N32" s="45"/>
      <c r="O32" s="45" t="s">
        <v>147</v>
      </c>
      <c r="P32" s="46" t="n">
        <v>6</v>
      </c>
    </row>
    <row r="33" customFormat="false" ht="15.75" hidden="false" customHeight="false" outlineLevel="0" collapsed="false">
      <c r="B33" s="47" t="s">
        <v>44</v>
      </c>
      <c r="C33" s="33" t="s">
        <v>45</v>
      </c>
      <c r="D33" s="33" t="s">
        <v>148</v>
      </c>
      <c r="E33" s="33" t="s">
        <v>149</v>
      </c>
      <c r="F33" s="33" t="s">
        <v>150</v>
      </c>
      <c r="G33" s="33" t="s">
        <v>49</v>
      </c>
      <c r="H33" s="48" t="s">
        <v>151</v>
      </c>
      <c r="J33" s="47" t="s">
        <v>44</v>
      </c>
      <c r="K33" s="33" t="s">
        <v>45</v>
      </c>
      <c r="L33" s="33" t="s">
        <v>148</v>
      </c>
      <c r="M33" s="33" t="s">
        <v>149</v>
      </c>
      <c r="N33" s="33" t="s">
        <v>150</v>
      </c>
      <c r="O33" s="33" t="s">
        <v>49</v>
      </c>
      <c r="P33" s="48" t="s">
        <v>151</v>
      </c>
    </row>
    <row r="34" customFormat="false" ht="15.75" hidden="false" customHeight="false" outlineLevel="0" collapsed="false">
      <c r="B34" s="49" t="n">
        <f aca="false">'LIBRO DIARIO'!B7</f>
        <v>46027</v>
      </c>
      <c r="C34" s="33" t="s">
        <v>162</v>
      </c>
      <c r="D34" s="33" t="n">
        <v>1</v>
      </c>
      <c r="E34" s="33" t="n">
        <v>1</v>
      </c>
      <c r="F34" s="50" t="n">
        <f aca="false">'[1]LIBRO DIARIO'!F33</f>
        <v>0</v>
      </c>
      <c r="G34" s="50" t="n">
        <f aca="false">'LIBRO DIARIO'!G12</f>
        <v>15000</v>
      </c>
      <c r="H34" s="51" t="n">
        <f aca="false">G34-F34</f>
        <v>15000</v>
      </c>
      <c r="J34" s="49" t="n">
        <f aca="false">'LIBRO DIARIO'!B7</f>
        <v>46027</v>
      </c>
      <c r="K34" s="33" t="s">
        <v>167</v>
      </c>
      <c r="L34" s="33" t="n">
        <v>1</v>
      </c>
      <c r="M34" s="33" t="n">
        <v>1</v>
      </c>
      <c r="N34" s="50"/>
      <c r="O34" s="50" t="n">
        <f aca="false">'LIBRO DIARIO'!G13</f>
        <v>158700</v>
      </c>
      <c r="P34" s="51" t="n">
        <f aca="false">O34-N34</f>
        <v>158700</v>
      </c>
    </row>
    <row r="35" customFormat="false" ht="15.75" hidden="false" customHeight="false" outlineLevel="0" collapsed="false">
      <c r="B35" s="49" t="n">
        <f aca="false">'LIBRO DIARIO'!B15</f>
        <v>46027</v>
      </c>
      <c r="C35" s="33" t="s">
        <v>162</v>
      </c>
      <c r="D35" s="33" t="n">
        <v>1</v>
      </c>
      <c r="E35" s="33" t="n">
        <v>2</v>
      </c>
      <c r="F35" s="33"/>
      <c r="G35" s="50" t="n">
        <f aca="false">'LIBRO DIARIO'!G18</f>
        <v>88447.92</v>
      </c>
      <c r="H35" s="51" t="n">
        <f aca="false">H34+G35-F35</f>
        <v>103447.92</v>
      </c>
      <c r="J35" s="47"/>
      <c r="K35" s="33"/>
      <c r="L35" s="33"/>
      <c r="M35" s="33"/>
      <c r="N35" s="33"/>
      <c r="O35" s="33"/>
      <c r="P35" s="48"/>
    </row>
    <row r="36" customFormat="false" ht="15.75" hidden="false" customHeight="false" outlineLevel="0" collapsed="false">
      <c r="B36" s="47"/>
      <c r="C36" s="33"/>
      <c r="D36" s="33"/>
      <c r="E36" s="33"/>
      <c r="F36" s="33"/>
      <c r="G36" s="33"/>
      <c r="H36" s="48"/>
      <c r="J36" s="47"/>
      <c r="K36" s="33"/>
      <c r="L36" s="33"/>
      <c r="M36" s="33"/>
      <c r="N36" s="33"/>
      <c r="O36" s="33"/>
      <c r="P36" s="48"/>
    </row>
    <row r="37" customFormat="false" ht="15.75" hidden="false" customHeight="false" outlineLevel="0" collapsed="false">
      <c r="B37" s="47"/>
      <c r="C37" s="33"/>
      <c r="D37" s="33"/>
      <c r="E37" s="33"/>
      <c r="F37" s="33"/>
      <c r="G37" s="33"/>
      <c r="H37" s="48"/>
      <c r="J37" s="47"/>
      <c r="K37" s="33"/>
      <c r="L37" s="33"/>
      <c r="M37" s="33"/>
      <c r="N37" s="33"/>
      <c r="O37" s="33"/>
      <c r="P37" s="48"/>
    </row>
    <row r="38" customFormat="false" ht="15.75" hidden="false" customHeight="false" outlineLevel="0" collapsed="false">
      <c r="B38" s="47"/>
      <c r="C38" s="33"/>
      <c r="D38" s="33"/>
      <c r="E38" s="33"/>
      <c r="F38" s="33"/>
      <c r="G38" s="33"/>
      <c r="H38" s="48"/>
      <c r="J38" s="47"/>
      <c r="K38" s="33"/>
      <c r="L38" s="33"/>
      <c r="M38" s="33"/>
      <c r="N38" s="33"/>
      <c r="O38" s="33"/>
      <c r="P38" s="48"/>
    </row>
    <row r="39" customFormat="false" ht="16.5" hidden="false" customHeight="true" outlineLevel="0" collapsed="false">
      <c r="B39" s="52"/>
      <c r="C39" s="53"/>
      <c r="D39" s="53"/>
      <c r="E39" s="53"/>
      <c r="F39" s="53"/>
      <c r="G39" s="53"/>
      <c r="H39" s="63"/>
      <c r="J39" s="52"/>
      <c r="K39" s="53"/>
      <c r="L39" s="53"/>
      <c r="M39" s="53"/>
      <c r="N39" s="53"/>
      <c r="O39" s="53"/>
      <c r="P39" s="63"/>
    </row>
    <row r="40" customFormat="false" ht="16.5" hidden="false" customHeight="true" outlineLevel="0" collapsed="false">
      <c r="F40" s="59" t="n">
        <f aca="false">SUM(F34:F39)</f>
        <v>0</v>
      </c>
      <c r="G40" s="59" t="n">
        <f aca="false">SUM(G34:G39)</f>
        <v>103447.92</v>
      </c>
      <c r="H40" s="60" t="n">
        <f aca="false">SUM(H34:H39)</f>
        <v>118447.92</v>
      </c>
      <c r="N40" s="59" t="n">
        <f aca="false">SUM(N34:N39)</f>
        <v>0</v>
      </c>
      <c r="O40" s="59" t="n">
        <f aca="false">SUM(O34:O39)</f>
        <v>158700</v>
      </c>
      <c r="P40" s="60" t="n">
        <f aca="false">SUM(P34:P39)</f>
        <v>158700</v>
      </c>
    </row>
    <row r="42" customFormat="false" ht="16.5" hidden="false" customHeight="true" outlineLevel="0" collapsed="false"/>
    <row r="43" customFormat="false" ht="15.75" hidden="false" customHeight="false" outlineLevel="0" collapsed="false">
      <c r="B43" s="42" t="s">
        <v>144</v>
      </c>
      <c r="C43" s="42"/>
      <c r="D43" s="42"/>
      <c r="E43" s="42"/>
      <c r="F43" s="42"/>
      <c r="G43" s="42"/>
      <c r="H43" s="42"/>
      <c r="J43" s="42" t="s">
        <v>144</v>
      </c>
      <c r="K43" s="42"/>
      <c r="L43" s="42"/>
      <c r="M43" s="42"/>
      <c r="N43" s="42"/>
      <c r="O43" s="42"/>
      <c r="P43" s="42"/>
    </row>
    <row r="44" customFormat="false" ht="15.75" hidden="false" customHeight="false" outlineLevel="0" collapsed="false">
      <c r="B44" s="43" t="s">
        <v>145</v>
      </c>
      <c r="C44" s="43"/>
      <c r="D44" s="43"/>
      <c r="E44" s="43"/>
      <c r="F44" s="43"/>
      <c r="G44" s="43"/>
      <c r="H44" s="43"/>
      <c r="J44" s="43" t="s">
        <v>145</v>
      </c>
      <c r="K44" s="43"/>
      <c r="L44" s="43"/>
      <c r="M44" s="43"/>
      <c r="N44" s="43"/>
      <c r="O44" s="43"/>
      <c r="P44" s="43"/>
    </row>
    <row r="45" customFormat="false" ht="15.75" hidden="false" customHeight="false" outlineLevel="0" collapsed="false">
      <c r="B45" s="44" t="s">
        <v>146</v>
      </c>
      <c r="C45" s="45" t="str">
        <f aca="false">'LIBRO DIARIO'!C21</f>
        <v>PRODUCCIÓN PROCESO OP#100 TS</v>
      </c>
      <c r="D45" s="45"/>
      <c r="E45" s="45"/>
      <c r="F45" s="45"/>
      <c r="G45" s="45" t="s">
        <v>147</v>
      </c>
      <c r="H45" s="46" t="n">
        <v>7</v>
      </c>
      <c r="J45" s="44" t="s">
        <v>146</v>
      </c>
      <c r="K45" s="45" t="str">
        <f aca="false">'LIBRO DIARIO'!C38</f>
        <v>PRODUCCIÓN PROCESO OP#100 TM</v>
      </c>
      <c r="L45" s="45"/>
      <c r="M45" s="45"/>
      <c r="N45" s="45"/>
      <c r="O45" s="45" t="s">
        <v>147</v>
      </c>
      <c r="P45" s="46" t="n">
        <v>8</v>
      </c>
    </row>
    <row r="46" customFormat="false" ht="15.75" hidden="false" customHeight="false" outlineLevel="0" collapsed="false">
      <c r="B46" s="47" t="s">
        <v>44</v>
      </c>
      <c r="C46" s="33" t="s">
        <v>45</v>
      </c>
      <c r="D46" s="33" t="s">
        <v>148</v>
      </c>
      <c r="E46" s="33" t="s">
        <v>149</v>
      </c>
      <c r="F46" s="33" t="s">
        <v>150</v>
      </c>
      <c r="G46" s="33" t="s">
        <v>49</v>
      </c>
      <c r="H46" s="48" t="s">
        <v>151</v>
      </c>
      <c r="J46" s="47" t="s">
        <v>44</v>
      </c>
      <c r="K46" s="33" t="s">
        <v>45</v>
      </c>
      <c r="L46" s="33" t="s">
        <v>148</v>
      </c>
      <c r="M46" s="33" t="s">
        <v>149</v>
      </c>
      <c r="N46" s="33" t="s">
        <v>150</v>
      </c>
      <c r="O46" s="33" t="s">
        <v>49</v>
      </c>
      <c r="P46" s="48" t="s">
        <v>151</v>
      </c>
    </row>
    <row r="47" customFormat="false" ht="15.75" hidden="false" customHeight="false" outlineLevel="0" collapsed="false">
      <c r="B47" s="49" t="n">
        <f aca="false">'LIBRO DIARIO'!B20</f>
        <v>46027</v>
      </c>
      <c r="C47" s="33" t="s">
        <v>152</v>
      </c>
      <c r="D47" s="33" t="n">
        <v>1</v>
      </c>
      <c r="E47" s="33" t="n">
        <v>3</v>
      </c>
      <c r="F47" s="50" t="n">
        <f aca="false">'LIBRO DIARIO'!F21</f>
        <v>18807.5297800191</v>
      </c>
      <c r="G47" s="50" t="n">
        <f aca="false">'[1]LIBRO DIARIO'!G30</f>
        <v>0</v>
      </c>
      <c r="H47" s="51" t="n">
        <f aca="false">F47-G47</f>
        <v>18807.5297800191</v>
      </c>
      <c r="J47" s="49" t="n">
        <f aca="false">'LIBRO DIARIO'!B20</f>
        <v>46027</v>
      </c>
      <c r="K47" s="33" t="s">
        <v>152</v>
      </c>
      <c r="L47" s="33" t="n">
        <v>1</v>
      </c>
      <c r="M47" s="33" t="n">
        <v>3</v>
      </c>
      <c r="N47" s="50" t="n">
        <f aca="false">'LIBRO DIARIO'!F22</f>
        <v>30931.7779323537</v>
      </c>
      <c r="O47" s="50" t="n">
        <f aca="false">'[1]LIBRO DIARIO'!O30</f>
        <v>0</v>
      </c>
      <c r="P47" s="51" t="n">
        <f aca="false">N47-O47</f>
        <v>30931.7779323537</v>
      </c>
    </row>
    <row r="48" customFormat="false" ht="15.75" hidden="false" customHeight="false" outlineLevel="0" collapsed="false">
      <c r="B48" s="49" t="n">
        <f aca="false">'LIBRO DIARIO'!B36</f>
        <v>46031</v>
      </c>
      <c r="C48" s="33" t="s">
        <v>168</v>
      </c>
      <c r="D48" s="33" t="n">
        <v>1</v>
      </c>
      <c r="E48" s="33" t="n">
        <v>5</v>
      </c>
      <c r="F48" s="62" t="n">
        <f aca="false">'LIBRO DIARIO'!F37</f>
        <v>1545.51995963542</v>
      </c>
      <c r="G48" s="33"/>
      <c r="H48" s="74" t="n">
        <f aca="false">(H47+F48)-G48</f>
        <v>20353.0497396546</v>
      </c>
      <c r="J48" s="49" t="n">
        <f aca="false">'LIBRO DIARIO'!B36</f>
        <v>46031</v>
      </c>
      <c r="K48" s="33" t="s">
        <v>168</v>
      </c>
      <c r="L48" s="33" t="n">
        <v>1</v>
      </c>
      <c r="M48" s="33" t="n">
        <v>5</v>
      </c>
      <c r="N48" s="62" t="n">
        <f aca="false">'LIBRO DIARIO'!F38</f>
        <v>2472.83193541667</v>
      </c>
      <c r="O48" s="33"/>
      <c r="P48" s="74" t="n">
        <f aca="false">(P47+N48)-O48</f>
        <v>33404.6098677704</v>
      </c>
    </row>
    <row r="49" customFormat="false" ht="15.75" hidden="false" customHeight="false" outlineLevel="0" collapsed="false">
      <c r="B49" s="49" t="n">
        <f aca="false">'LIBRO DIARIO'!B52</f>
        <v>46036</v>
      </c>
      <c r="C49" s="33" t="s">
        <v>168</v>
      </c>
      <c r="D49" s="33" t="n">
        <v>1</v>
      </c>
      <c r="E49" s="33" t="n">
        <v>7</v>
      </c>
      <c r="F49" s="62" t="n">
        <f aca="false">'LIBRO DIARIO'!F53</f>
        <v>927.31197578125</v>
      </c>
      <c r="G49" s="33"/>
      <c r="H49" s="74" t="n">
        <f aca="false">(H48+F49)-G49</f>
        <v>21280.3617154358</v>
      </c>
      <c r="J49" s="49" t="n">
        <f aca="false">'LIBRO DIARIO'!B52</f>
        <v>46036</v>
      </c>
      <c r="K49" s="33" t="s">
        <v>168</v>
      </c>
      <c r="L49" s="33" t="n">
        <v>1</v>
      </c>
      <c r="M49" s="33" t="n">
        <v>7</v>
      </c>
      <c r="N49" s="62" t="n">
        <f aca="false">'LIBRO DIARIO'!F54</f>
        <v>1483.69916125</v>
      </c>
      <c r="O49" s="33"/>
      <c r="P49" s="74" t="n">
        <f aca="false">(P48+N49)-O49</f>
        <v>34888.3090290204</v>
      </c>
    </row>
    <row r="50" customFormat="false" ht="15.75" hidden="false" customHeight="false" outlineLevel="0" collapsed="false">
      <c r="B50" s="49" t="n">
        <f aca="false">'LIBRO DIARIO'!B74</f>
        <v>46036</v>
      </c>
      <c r="C50" s="33" t="s">
        <v>169</v>
      </c>
      <c r="D50" s="33" t="n">
        <v>1</v>
      </c>
      <c r="E50" s="33" t="n">
        <v>10</v>
      </c>
      <c r="F50" s="62" t="n">
        <f aca="false">'LIBRO DIARIO'!F75</f>
        <v>218.333333333333</v>
      </c>
      <c r="G50" s="33"/>
      <c r="H50" s="74" t="n">
        <f aca="false">(H49+F50)-G50</f>
        <v>21498.6950487691</v>
      </c>
      <c r="J50" s="49" t="n">
        <f aca="false">'LIBRO DIARIO'!B74</f>
        <v>46036</v>
      </c>
      <c r="K50" s="33" t="s">
        <v>169</v>
      </c>
      <c r="L50" s="33" t="n">
        <v>1</v>
      </c>
      <c r="M50" s="33" t="n">
        <v>10</v>
      </c>
      <c r="N50" s="62" t="n">
        <f aca="false">'LIBRO DIARIO'!F76</f>
        <v>327.5</v>
      </c>
      <c r="O50" s="33"/>
      <c r="P50" s="74" t="n">
        <f aca="false">(P49+N50)-O50</f>
        <v>35215.8090290204</v>
      </c>
    </row>
    <row r="51" customFormat="false" ht="15.75" hidden="false" customHeight="false" outlineLevel="0" collapsed="false">
      <c r="B51" s="49" t="n">
        <f aca="false">'LIBRO DIARIO'!B80</f>
        <v>46036</v>
      </c>
      <c r="C51" s="33" t="s">
        <v>170</v>
      </c>
      <c r="D51" s="33" t="n">
        <v>1</v>
      </c>
      <c r="E51" s="33" t="n">
        <v>11</v>
      </c>
      <c r="F51" s="33"/>
      <c r="G51" s="62" t="n">
        <f aca="false">'LIBRO DIARIO'!G84</f>
        <v>21498.6950487691</v>
      </c>
      <c r="H51" s="74" t="n">
        <f aca="false">(H50+F51)-G51</f>
        <v>0</v>
      </c>
      <c r="J51" s="49" t="n">
        <f aca="false">'LIBRO DIARIO'!B80</f>
        <v>46036</v>
      </c>
      <c r="K51" s="33" t="s">
        <v>171</v>
      </c>
      <c r="L51" s="33" t="n">
        <v>1</v>
      </c>
      <c r="M51" s="33" t="n">
        <v>11</v>
      </c>
      <c r="N51" s="33"/>
      <c r="O51" s="62" t="n">
        <f aca="false">'LIBRO DIARIO'!G85</f>
        <v>35215.8090290204</v>
      </c>
      <c r="P51" s="74" t="n">
        <f aca="false">(P50+N51)-O51</f>
        <v>0</v>
      </c>
    </row>
    <row r="52" customFormat="false" ht="15.75" hidden="false" customHeight="false" outlineLevel="0" collapsed="false">
      <c r="B52" s="64"/>
      <c r="C52" s="54"/>
      <c r="D52" s="54"/>
      <c r="E52" s="54"/>
      <c r="F52" s="54"/>
      <c r="G52" s="54"/>
      <c r="H52" s="74" t="n">
        <f aca="false">(H51+F52)-G52</f>
        <v>0</v>
      </c>
      <c r="J52" s="75"/>
      <c r="K52" s="54"/>
      <c r="L52" s="54"/>
      <c r="M52" s="54"/>
      <c r="N52" s="54"/>
      <c r="O52" s="54"/>
      <c r="P52" s="55"/>
    </row>
    <row r="53" customFormat="false" ht="16.5" hidden="false" customHeight="true" outlineLevel="0" collapsed="false">
      <c r="B53" s="52"/>
      <c r="C53" s="53"/>
      <c r="D53" s="53"/>
      <c r="E53" s="53"/>
      <c r="F53" s="53"/>
      <c r="G53" s="53"/>
      <c r="H53" s="74" t="n">
        <f aca="false">(H52+F53)-G53</f>
        <v>0</v>
      </c>
      <c r="J53" s="52"/>
      <c r="K53" s="53"/>
      <c r="L53" s="53"/>
      <c r="M53" s="53"/>
      <c r="N53" s="53"/>
      <c r="O53" s="53"/>
      <c r="P53" s="63"/>
    </row>
    <row r="54" customFormat="false" ht="16.5" hidden="false" customHeight="true" outlineLevel="0" collapsed="false">
      <c r="F54" s="60" t="n">
        <f aca="false">SUM(F47:F53)</f>
        <v>21498.6950487691</v>
      </c>
      <c r="G54" s="60" t="n">
        <f aca="false">SUM(G47:G53)</f>
        <v>21498.6950487691</v>
      </c>
      <c r="H54" s="61" t="n">
        <f aca="false">SUM(H47:H53)</f>
        <v>81939.6362838786</v>
      </c>
      <c r="N54" s="59" t="n">
        <f aca="false">SUM(N47:N53)</f>
        <v>35215.8090290204</v>
      </c>
      <c r="O54" s="60" t="n">
        <f aca="false">SUM(O47:O53)</f>
        <v>35215.8090290204</v>
      </c>
      <c r="P54" s="61" t="n">
        <f aca="false">SUM(P47:P53)</f>
        <v>134440.505858165</v>
      </c>
    </row>
    <row r="56" customFormat="false" ht="16.5" hidden="false" customHeight="true" outlineLevel="0" collapsed="false"/>
    <row r="57" customFormat="false" ht="15.75" hidden="false" customHeight="false" outlineLevel="0" collapsed="false">
      <c r="B57" s="42" t="s">
        <v>144</v>
      </c>
      <c r="C57" s="42"/>
      <c r="D57" s="42"/>
      <c r="E57" s="42"/>
      <c r="F57" s="42"/>
      <c r="G57" s="42"/>
      <c r="H57" s="42"/>
      <c r="J57" s="42" t="s">
        <v>144</v>
      </c>
      <c r="K57" s="42"/>
      <c r="L57" s="42"/>
      <c r="M57" s="42"/>
      <c r="N57" s="42"/>
      <c r="O57" s="42"/>
      <c r="P57" s="42"/>
    </row>
    <row r="58" customFormat="false" ht="15.75" hidden="false" customHeight="false" outlineLevel="0" collapsed="false">
      <c r="B58" s="43" t="s">
        <v>145</v>
      </c>
      <c r="C58" s="43"/>
      <c r="D58" s="43"/>
      <c r="E58" s="43"/>
      <c r="F58" s="43"/>
      <c r="G58" s="43"/>
      <c r="H58" s="43"/>
      <c r="J58" s="43" t="s">
        <v>145</v>
      </c>
      <c r="K58" s="43"/>
      <c r="L58" s="43"/>
      <c r="M58" s="43"/>
      <c r="N58" s="43"/>
      <c r="O58" s="43"/>
      <c r="P58" s="43"/>
    </row>
    <row r="59" customFormat="false" ht="15.75" hidden="false" customHeight="false" outlineLevel="0" collapsed="false">
      <c r="B59" s="44" t="s">
        <v>146</v>
      </c>
      <c r="C59" s="45" t="str">
        <f aca="false">'LIBRO DIARIO'!C39</f>
        <v>PRODUCCIÓN PROCESO OP#100 TL</v>
      </c>
      <c r="D59" s="45"/>
      <c r="E59" s="45"/>
      <c r="F59" s="45"/>
      <c r="G59" s="45" t="s">
        <v>147</v>
      </c>
      <c r="H59" s="46" t="n">
        <v>9</v>
      </c>
      <c r="J59" s="44" t="s">
        <v>146</v>
      </c>
      <c r="K59" s="45" t="str">
        <f aca="false">'LIBRO DIARIO'!C28</f>
        <v>MANO DE OBRA DIRECTA</v>
      </c>
      <c r="L59" s="45"/>
      <c r="M59" s="45"/>
      <c r="N59" s="45"/>
      <c r="O59" s="45" t="s">
        <v>147</v>
      </c>
      <c r="P59" s="46" t="n">
        <v>10</v>
      </c>
    </row>
    <row r="60" customFormat="false" ht="15.75" hidden="false" customHeight="false" outlineLevel="0" collapsed="false">
      <c r="B60" s="47" t="s">
        <v>44</v>
      </c>
      <c r="C60" s="33" t="s">
        <v>45</v>
      </c>
      <c r="D60" s="33" t="s">
        <v>148</v>
      </c>
      <c r="E60" s="33" t="s">
        <v>149</v>
      </c>
      <c r="F60" s="33" t="s">
        <v>150</v>
      </c>
      <c r="G60" s="33" t="s">
        <v>49</v>
      </c>
      <c r="H60" s="48" t="s">
        <v>151</v>
      </c>
      <c r="J60" s="47" t="s">
        <v>44</v>
      </c>
      <c r="K60" s="33" t="s">
        <v>45</v>
      </c>
      <c r="L60" s="33" t="s">
        <v>148</v>
      </c>
      <c r="M60" s="33" t="s">
        <v>149</v>
      </c>
      <c r="N60" s="33" t="s">
        <v>150</v>
      </c>
      <c r="O60" s="33" t="s">
        <v>49</v>
      </c>
      <c r="P60" s="48" t="s">
        <v>151</v>
      </c>
    </row>
    <row r="61" customFormat="false" ht="15.75" hidden="false" customHeight="false" outlineLevel="0" collapsed="false">
      <c r="B61" s="49" t="n">
        <f aca="false">'LIBRO DIARIO'!B20</f>
        <v>46027</v>
      </c>
      <c r="C61" s="33" t="s">
        <v>152</v>
      </c>
      <c r="D61" s="33" t="n">
        <v>1</v>
      </c>
      <c r="E61" s="33" t="n">
        <v>3</v>
      </c>
      <c r="F61" s="50" t="n">
        <f aca="false">'LIBRO DIARIO'!F23</f>
        <v>30305.6203808365</v>
      </c>
      <c r="G61" s="50" t="n">
        <v>0</v>
      </c>
      <c r="H61" s="51" t="n">
        <f aca="false">F61-G61</f>
        <v>30305.6203808365</v>
      </c>
      <c r="J61" s="49" t="n">
        <f aca="false">'LIBRO DIARIO'!B27</f>
        <v>46031</v>
      </c>
      <c r="K61" s="33" t="s">
        <v>152</v>
      </c>
      <c r="L61" s="33" t="n">
        <v>1</v>
      </c>
      <c r="M61" s="33" t="n">
        <v>4</v>
      </c>
      <c r="N61" s="50" t="n">
        <f aca="false">'LIBRO DIARIO'!F28</f>
        <v>5598.27184375</v>
      </c>
      <c r="O61" s="50" t="n">
        <f aca="false">'[1]LIBRO DIARIO'!O28</f>
        <v>0</v>
      </c>
      <c r="P61" s="51" t="n">
        <f aca="false">N61-O61</f>
        <v>5598.27184375</v>
      </c>
    </row>
    <row r="62" customFormat="false" ht="15.75" hidden="false" customHeight="false" outlineLevel="0" collapsed="false">
      <c r="B62" s="76" t="n">
        <f aca="false">'LIBRO DIARIO'!B36</f>
        <v>46031</v>
      </c>
      <c r="C62" s="77" t="s">
        <v>168</v>
      </c>
      <c r="D62" s="77" t="n">
        <v>1</v>
      </c>
      <c r="E62" s="77" t="n">
        <v>5</v>
      </c>
      <c r="F62" s="78" t="n">
        <f aca="false">'LIBRO DIARIO'!F39</f>
        <v>2163.72794348958</v>
      </c>
      <c r="G62" s="77"/>
      <c r="H62" s="51" t="n">
        <f aca="false">H61+F62-G62</f>
        <v>32469.348324326</v>
      </c>
      <c r="J62" s="49" t="n">
        <f aca="false">'LIBRO DIARIO'!B36</f>
        <v>46031</v>
      </c>
      <c r="K62" s="33" t="s">
        <v>161</v>
      </c>
      <c r="L62" s="33" t="n">
        <v>1</v>
      </c>
      <c r="M62" s="33" t="n">
        <v>5</v>
      </c>
      <c r="N62" s="50"/>
      <c r="O62" s="62" t="n">
        <f aca="false">'LIBRO DIARIO'!G40</f>
        <v>5598.27184375</v>
      </c>
      <c r="P62" s="51" t="n">
        <f aca="false">P61+N62-O62</f>
        <v>0</v>
      </c>
    </row>
    <row r="63" customFormat="false" ht="15.75" hidden="false" customHeight="false" outlineLevel="0" collapsed="false">
      <c r="B63" s="49" t="n">
        <f aca="false">'LIBRO DIARIO'!B52</f>
        <v>46036</v>
      </c>
      <c r="C63" s="33" t="s">
        <v>168</v>
      </c>
      <c r="D63" s="33" t="n">
        <v>1</v>
      </c>
      <c r="E63" s="33" t="n">
        <v>7</v>
      </c>
      <c r="F63" s="62" t="n">
        <f aca="false">'LIBRO DIARIO'!F55</f>
        <v>1298.23676609375</v>
      </c>
      <c r="G63" s="33"/>
      <c r="H63" s="74" t="n">
        <f aca="false">(H62+F63)-G63</f>
        <v>33767.5850904198</v>
      </c>
      <c r="J63" s="49" t="n">
        <f aca="false">'LIBRO DIARIO'!B43</f>
        <v>46036</v>
      </c>
      <c r="K63" s="33" t="s">
        <v>152</v>
      </c>
      <c r="L63" s="33" t="n">
        <v>1</v>
      </c>
      <c r="M63" s="33" t="n">
        <v>6</v>
      </c>
      <c r="N63" s="79" t="n">
        <f aca="false">'LIBRO DIARIO'!F44</f>
        <v>3358.96310625</v>
      </c>
      <c r="O63" s="33"/>
      <c r="P63" s="51" t="n">
        <f aca="false">P62+N63-O63</f>
        <v>3358.96310625</v>
      </c>
    </row>
    <row r="64" customFormat="false" ht="15.75" hidden="false" customHeight="false" outlineLevel="0" collapsed="false">
      <c r="B64" s="49" t="n">
        <f aca="false">'LIBRO DIARIO'!B74</f>
        <v>46036</v>
      </c>
      <c r="C64" s="33" t="s">
        <v>169</v>
      </c>
      <c r="D64" s="33" t="n">
        <v>1</v>
      </c>
      <c r="E64" s="33" t="n">
        <v>10</v>
      </c>
      <c r="F64" s="62" t="n">
        <f aca="false">'LIBRO DIARIO'!F77</f>
        <v>272.916666666667</v>
      </c>
      <c r="G64" s="33"/>
      <c r="H64" s="74" t="n">
        <f aca="false">(H63+F64)-G64</f>
        <v>34040.5017570865</v>
      </c>
      <c r="J64" s="49" t="n">
        <f aca="false">'LIBRO DIARIO'!B52</f>
        <v>46036</v>
      </c>
      <c r="K64" s="33" t="s">
        <v>161</v>
      </c>
      <c r="L64" s="33" t="n">
        <v>1</v>
      </c>
      <c r="M64" s="33" t="n">
        <v>7</v>
      </c>
      <c r="N64" s="33"/>
      <c r="O64" s="62" t="n">
        <f aca="false">'LIBRO DIARIO'!G56</f>
        <v>3358.96310625</v>
      </c>
      <c r="P64" s="51" t="n">
        <f aca="false">P63+N64-O64</f>
        <v>0</v>
      </c>
    </row>
    <row r="65" customFormat="false" ht="15.75" hidden="false" customHeight="false" outlineLevel="0" collapsed="false">
      <c r="B65" s="49" t="n">
        <f aca="false">'LIBRO DIARIO'!B80</f>
        <v>46036</v>
      </c>
      <c r="C65" s="33" t="s">
        <v>172</v>
      </c>
      <c r="D65" s="33" t="n">
        <v>1</v>
      </c>
      <c r="E65" s="33" t="n">
        <v>11</v>
      </c>
      <c r="F65" s="33"/>
      <c r="G65" s="62" t="n">
        <f aca="false">'LIBRO DIARIO'!G86</f>
        <v>34040.5017570865</v>
      </c>
      <c r="H65" s="74" t="n">
        <f aca="false">(H64+F65)-G65</f>
        <v>0</v>
      </c>
      <c r="J65" s="47"/>
      <c r="K65" s="33"/>
      <c r="L65" s="33"/>
      <c r="M65" s="33"/>
      <c r="N65" s="33"/>
      <c r="O65" s="33"/>
      <c r="P65" s="48"/>
      <c r="Q65" s="80"/>
    </row>
    <row r="66" customFormat="false" ht="15.75" hidden="false" customHeight="false" outlineLevel="0" collapsed="false">
      <c r="B66" s="64"/>
      <c r="C66" s="54"/>
      <c r="D66" s="54"/>
      <c r="E66" s="54"/>
      <c r="F66" s="54"/>
      <c r="G66" s="81"/>
      <c r="H66" s="82"/>
      <c r="J66" s="75"/>
      <c r="K66" s="54"/>
      <c r="L66" s="54"/>
      <c r="M66" s="54"/>
      <c r="N66" s="54"/>
      <c r="O66" s="54"/>
      <c r="P66" s="55"/>
      <c r="Q66" s="80"/>
    </row>
    <row r="67" customFormat="false" ht="16.5" hidden="false" customHeight="true" outlineLevel="0" collapsed="false">
      <c r="B67" s="52"/>
      <c r="C67" s="53"/>
      <c r="D67" s="53"/>
      <c r="E67" s="53"/>
      <c r="F67" s="53"/>
      <c r="G67" s="53"/>
      <c r="H67" s="63"/>
      <c r="J67" s="52"/>
      <c r="K67" s="53"/>
      <c r="L67" s="53"/>
      <c r="M67" s="53"/>
      <c r="N67" s="53"/>
      <c r="O67" s="53"/>
      <c r="P67" s="63"/>
    </row>
    <row r="68" customFormat="false" ht="16.5" hidden="false" customHeight="true" outlineLevel="0" collapsed="false">
      <c r="F68" s="59" t="n">
        <f aca="false">SUM(F61:F67)</f>
        <v>34040.5017570865</v>
      </c>
      <c r="G68" s="60" t="n">
        <f aca="false">SUM(G61:G67)</f>
        <v>34040.5017570865</v>
      </c>
      <c r="H68" s="61" t="n">
        <f aca="false">SUM(H61:H67)</f>
        <v>130583.055552669</v>
      </c>
      <c r="N68" s="59" t="n">
        <f aca="false">SUM(N61:N67)</f>
        <v>8957.23495</v>
      </c>
      <c r="O68" s="60" t="n">
        <f aca="false">SUM(O61:O67)</f>
        <v>8957.23495</v>
      </c>
      <c r="P68" s="61" t="n">
        <f aca="false">SUM(P61:P67)</f>
        <v>8957.23495</v>
      </c>
    </row>
    <row r="70" customFormat="false" ht="16.5" hidden="false" customHeight="true" outlineLevel="0" collapsed="false"/>
    <row r="71" customFormat="false" ht="15.75" hidden="false" customHeight="false" outlineLevel="0" collapsed="false">
      <c r="B71" s="42" t="s">
        <v>144</v>
      </c>
      <c r="C71" s="42"/>
      <c r="D71" s="42"/>
      <c r="E71" s="42"/>
      <c r="F71" s="42"/>
      <c r="G71" s="42"/>
      <c r="H71" s="42"/>
      <c r="J71" s="42" t="s">
        <v>144</v>
      </c>
      <c r="K71" s="42"/>
      <c r="L71" s="42"/>
      <c r="M71" s="42"/>
      <c r="N71" s="42"/>
      <c r="O71" s="42"/>
      <c r="P71" s="42"/>
    </row>
    <row r="72" customFormat="false" ht="15.75" hidden="false" customHeight="false" outlineLevel="0" collapsed="false">
      <c r="B72" s="43" t="s">
        <v>145</v>
      </c>
      <c r="C72" s="43"/>
      <c r="D72" s="43"/>
      <c r="E72" s="43"/>
      <c r="F72" s="43"/>
      <c r="G72" s="43"/>
      <c r="H72" s="43"/>
      <c r="J72" s="43" t="s">
        <v>145</v>
      </c>
      <c r="K72" s="43"/>
      <c r="L72" s="43"/>
      <c r="M72" s="43"/>
      <c r="N72" s="43"/>
      <c r="O72" s="43"/>
      <c r="P72" s="43"/>
    </row>
    <row r="73" customFormat="false" ht="15.75" hidden="false" customHeight="false" outlineLevel="0" collapsed="false">
      <c r="B73" s="44" t="s">
        <v>146</v>
      </c>
      <c r="C73" s="45" t="str">
        <f aca="false">'LIBRO DIARIO'!C29</f>
        <v>MANO DE OBRA INDIRECTA </v>
      </c>
      <c r="D73" s="45"/>
      <c r="E73" s="45"/>
      <c r="F73" s="45"/>
      <c r="G73" s="45" t="s">
        <v>147</v>
      </c>
      <c r="H73" s="46" t="n">
        <v>11</v>
      </c>
      <c r="J73" s="44" t="s">
        <v>146</v>
      </c>
      <c r="K73" s="45" t="str">
        <f aca="false">'LIBRO DIARIO'!C30</f>
        <v>          IESS POR PAGAR</v>
      </c>
      <c r="L73" s="45"/>
      <c r="M73" s="45"/>
      <c r="N73" s="45"/>
      <c r="O73" s="45" t="s">
        <v>147</v>
      </c>
      <c r="P73" s="46" t="n">
        <v>12</v>
      </c>
    </row>
    <row r="74" customFormat="false" ht="15.75" hidden="false" customHeight="false" outlineLevel="0" collapsed="false">
      <c r="B74" s="47" t="s">
        <v>44</v>
      </c>
      <c r="C74" s="33" t="s">
        <v>45</v>
      </c>
      <c r="D74" s="33" t="s">
        <v>148</v>
      </c>
      <c r="E74" s="33" t="s">
        <v>149</v>
      </c>
      <c r="F74" s="33" t="s">
        <v>150</v>
      </c>
      <c r="G74" s="33" t="s">
        <v>49</v>
      </c>
      <c r="H74" s="48" t="s">
        <v>151</v>
      </c>
      <c r="J74" s="47" t="s">
        <v>44</v>
      </c>
      <c r="K74" s="33" t="s">
        <v>45</v>
      </c>
      <c r="L74" s="33" t="s">
        <v>148</v>
      </c>
      <c r="M74" s="33" t="s">
        <v>149</v>
      </c>
      <c r="N74" s="33" t="s">
        <v>150</v>
      </c>
      <c r="O74" s="33" t="s">
        <v>49</v>
      </c>
      <c r="P74" s="48" t="s">
        <v>151</v>
      </c>
    </row>
    <row r="75" customFormat="false" ht="15.75" hidden="false" customHeight="false" outlineLevel="0" collapsed="false">
      <c r="B75" s="49" t="n">
        <f aca="false">'LIBRO DIARIO'!B27</f>
        <v>46031</v>
      </c>
      <c r="C75" s="33" t="s">
        <v>152</v>
      </c>
      <c r="D75" s="33" t="n">
        <v>1</v>
      </c>
      <c r="E75" s="33" t="n">
        <v>4</v>
      </c>
      <c r="F75" s="50" t="n">
        <f aca="false">'LIBRO DIARIO'!F29</f>
        <v>583.807994791667</v>
      </c>
      <c r="G75" s="50" t="n">
        <f aca="false">'[1]LIBRO DIARIO'!G41</f>
        <v>0</v>
      </c>
      <c r="H75" s="51" t="n">
        <f aca="false">F75-G75</f>
        <v>583.807994791667</v>
      </c>
      <c r="J75" s="49" t="n">
        <f aca="false">'LIBRO DIARIO'!B27</f>
        <v>46031</v>
      </c>
      <c r="K75" s="33" t="s">
        <v>154</v>
      </c>
      <c r="L75" s="33" t="n">
        <v>1</v>
      </c>
      <c r="M75" s="33" t="n">
        <v>4</v>
      </c>
      <c r="N75" s="50" t="n">
        <v>0</v>
      </c>
      <c r="O75" s="50" t="n">
        <f aca="false">'LIBRO DIARIO'!G30</f>
        <v>979.76925</v>
      </c>
      <c r="P75" s="51" t="n">
        <f aca="false">O75-N75</f>
        <v>979.76925</v>
      </c>
    </row>
    <row r="76" customFormat="false" ht="15.75" hidden="false" customHeight="false" outlineLevel="0" collapsed="false">
      <c r="B76" s="49" t="n">
        <f aca="false">'LIBRO DIARIO'!B36</f>
        <v>46031</v>
      </c>
      <c r="C76" s="33" t="s">
        <v>162</v>
      </c>
      <c r="D76" s="33" t="n">
        <v>1</v>
      </c>
      <c r="E76" s="33" t="n">
        <v>5</v>
      </c>
      <c r="F76" s="50"/>
      <c r="G76" s="62" t="n">
        <f aca="false">'LIBRO DIARIO'!G41</f>
        <v>583.807994791667</v>
      </c>
      <c r="H76" s="51" t="n">
        <f aca="false">H75+F76-G76</f>
        <v>0</v>
      </c>
      <c r="J76" s="49" t="n">
        <f aca="false">'LIBRO DIARIO'!B43</f>
        <v>46036</v>
      </c>
      <c r="K76" s="33" t="s">
        <v>154</v>
      </c>
      <c r="L76" s="33" t="n">
        <v>1</v>
      </c>
      <c r="M76" s="33" t="n">
        <v>6</v>
      </c>
      <c r="N76" s="33"/>
      <c r="O76" s="79" t="n">
        <f aca="false">'LIBRO DIARIO'!G46</f>
        <v>587.86155</v>
      </c>
      <c r="P76" s="74" t="n">
        <f aca="false">(P75+O76)-N76</f>
        <v>1567.6308</v>
      </c>
    </row>
    <row r="77" customFormat="false" ht="15.75" hidden="false" customHeight="false" outlineLevel="0" collapsed="false">
      <c r="B77" s="49" t="n">
        <f aca="false">'LIBRO DIARIO'!B43</f>
        <v>46036</v>
      </c>
      <c r="C77" s="33" t="s">
        <v>152</v>
      </c>
      <c r="D77" s="33" t="n">
        <v>1</v>
      </c>
      <c r="E77" s="33" t="n">
        <v>6</v>
      </c>
      <c r="F77" s="79" t="n">
        <f aca="false">'LIBRO DIARIO'!F45</f>
        <v>350.284796875</v>
      </c>
      <c r="G77" s="33"/>
      <c r="H77" s="51" t="n">
        <f aca="false">H76+F77-G77</f>
        <v>350.284796875</v>
      </c>
      <c r="J77" s="47"/>
      <c r="K77" s="33"/>
      <c r="L77" s="33"/>
      <c r="M77" s="33"/>
      <c r="N77" s="33"/>
      <c r="O77" s="33"/>
      <c r="P77" s="48"/>
    </row>
    <row r="78" customFormat="false" ht="15.75" hidden="false" customHeight="false" outlineLevel="0" collapsed="false">
      <c r="B78" s="49" t="n">
        <f aca="false">'LIBRO DIARIO'!B52</f>
        <v>46036</v>
      </c>
      <c r="C78" s="33" t="s">
        <v>161</v>
      </c>
      <c r="D78" s="33" t="n">
        <v>1</v>
      </c>
      <c r="E78" s="33" t="n">
        <v>7</v>
      </c>
      <c r="F78" s="33"/>
      <c r="G78" s="62" t="n">
        <f aca="false">'LIBRO DIARIO'!G57</f>
        <v>350.284796875</v>
      </c>
      <c r="H78" s="51" t="n">
        <f aca="false">H77+F78-G78</f>
        <v>0</v>
      </c>
      <c r="J78" s="47"/>
      <c r="K78" s="33"/>
      <c r="L78" s="33"/>
      <c r="M78" s="33"/>
      <c r="N78" s="33"/>
      <c r="O78" s="33"/>
      <c r="P78" s="48"/>
    </row>
    <row r="79" customFormat="false" ht="15.75" hidden="false" customHeight="false" outlineLevel="0" collapsed="false">
      <c r="B79" s="47"/>
      <c r="C79" s="33"/>
      <c r="D79" s="33"/>
      <c r="E79" s="33"/>
      <c r="F79" s="33"/>
      <c r="G79" s="33"/>
      <c r="H79" s="48"/>
      <c r="J79" s="47"/>
      <c r="K79" s="33"/>
      <c r="L79" s="33"/>
      <c r="M79" s="33"/>
      <c r="N79" s="33"/>
      <c r="O79" s="33"/>
      <c r="P79" s="48"/>
    </row>
    <row r="80" customFormat="false" ht="16.5" hidden="false" customHeight="true" outlineLevel="0" collapsed="false">
      <c r="B80" s="52"/>
      <c r="C80" s="53"/>
      <c r="D80" s="53"/>
      <c r="E80" s="53"/>
      <c r="F80" s="53"/>
      <c r="G80" s="53"/>
      <c r="H80" s="63"/>
      <c r="J80" s="52"/>
      <c r="K80" s="53"/>
      <c r="L80" s="53"/>
      <c r="M80" s="53"/>
      <c r="N80" s="53"/>
      <c r="O80" s="53"/>
      <c r="P80" s="63"/>
    </row>
    <row r="81" customFormat="false" ht="16.5" hidden="false" customHeight="true" outlineLevel="0" collapsed="false">
      <c r="F81" s="59" t="n">
        <f aca="false">SUM(F75:F80)</f>
        <v>934.092791666667</v>
      </c>
      <c r="G81" s="60" t="n">
        <f aca="false">SUM(G75:G80)</f>
        <v>934.092791666667</v>
      </c>
      <c r="H81" s="61" t="n">
        <f aca="false">SUM(H75:H80)</f>
        <v>934.092791666667</v>
      </c>
      <c r="N81" s="59" t="n">
        <f aca="false">SUM(N75:N80)</f>
        <v>0</v>
      </c>
      <c r="O81" s="60" t="n">
        <f aca="false">SUM(O75:O80)</f>
        <v>1567.6308</v>
      </c>
      <c r="P81" s="61" t="n">
        <f aca="false">SUM(P75:P80)</f>
        <v>2547.40005</v>
      </c>
    </row>
    <row r="83" customFormat="false" ht="16.5" hidden="false" customHeight="true" outlineLevel="0" collapsed="false"/>
    <row r="84" customFormat="false" ht="15.75" hidden="false" customHeight="false" outlineLevel="0" collapsed="false">
      <c r="B84" s="42" t="s">
        <v>144</v>
      </c>
      <c r="C84" s="42"/>
      <c r="D84" s="42"/>
      <c r="E84" s="42"/>
      <c r="F84" s="42"/>
      <c r="G84" s="42"/>
      <c r="H84" s="42"/>
      <c r="J84" s="42" t="s">
        <v>144</v>
      </c>
      <c r="K84" s="42"/>
      <c r="L84" s="42"/>
      <c r="M84" s="42"/>
      <c r="N84" s="42"/>
      <c r="O84" s="42"/>
      <c r="P84" s="42"/>
    </row>
    <row r="85" customFormat="false" ht="15.75" hidden="false" customHeight="false" outlineLevel="0" collapsed="false">
      <c r="B85" s="43" t="s">
        <v>145</v>
      </c>
      <c r="C85" s="43"/>
      <c r="D85" s="43"/>
      <c r="E85" s="43"/>
      <c r="F85" s="43"/>
      <c r="G85" s="43"/>
      <c r="H85" s="43"/>
      <c r="J85" s="43" t="s">
        <v>145</v>
      </c>
      <c r="K85" s="43"/>
      <c r="L85" s="43"/>
      <c r="M85" s="43"/>
      <c r="N85" s="43"/>
      <c r="O85" s="43"/>
      <c r="P85" s="43"/>
    </row>
    <row r="86" customFormat="false" ht="15.75" hidden="false" customHeight="false" outlineLevel="0" collapsed="false">
      <c r="B86" s="44" t="s">
        <v>146</v>
      </c>
      <c r="C86" s="45" t="str">
        <f aca="false">'LIBRO DIARIO'!C31</f>
        <v>          XIII SUELDO POR PAGAR</v>
      </c>
      <c r="D86" s="45"/>
      <c r="E86" s="45"/>
      <c r="F86" s="45"/>
      <c r="G86" s="45" t="s">
        <v>147</v>
      </c>
      <c r="H86" s="46" t="n">
        <v>13</v>
      </c>
      <c r="J86" s="44" t="s">
        <v>146</v>
      </c>
      <c r="K86" s="45" t="str">
        <f aca="false">'LIBRO DIARIO'!C32</f>
        <v>          XIV SUELDO POR PAGAR</v>
      </c>
      <c r="L86" s="45"/>
      <c r="M86" s="45"/>
      <c r="N86" s="45"/>
      <c r="O86" s="45" t="s">
        <v>147</v>
      </c>
      <c r="P86" s="46" t="n">
        <v>14</v>
      </c>
    </row>
    <row r="87" customFormat="false" ht="15.75" hidden="false" customHeight="false" outlineLevel="0" collapsed="false">
      <c r="B87" s="47" t="s">
        <v>44</v>
      </c>
      <c r="C87" s="33" t="s">
        <v>45</v>
      </c>
      <c r="D87" s="33" t="s">
        <v>148</v>
      </c>
      <c r="E87" s="33" t="s">
        <v>149</v>
      </c>
      <c r="F87" s="33" t="s">
        <v>150</v>
      </c>
      <c r="G87" s="33" t="s">
        <v>49</v>
      </c>
      <c r="H87" s="48" t="s">
        <v>151</v>
      </c>
      <c r="J87" s="47" t="s">
        <v>44</v>
      </c>
      <c r="K87" s="33" t="s">
        <v>45</v>
      </c>
      <c r="L87" s="33" t="s">
        <v>148</v>
      </c>
      <c r="M87" s="33" t="s">
        <v>149</v>
      </c>
      <c r="N87" s="33" t="s">
        <v>150</v>
      </c>
      <c r="O87" s="33" t="s">
        <v>49</v>
      </c>
      <c r="P87" s="48" t="s">
        <v>151</v>
      </c>
    </row>
    <row r="88" customFormat="false" ht="15.75" hidden="false" customHeight="false" outlineLevel="0" collapsed="false">
      <c r="B88" s="49" t="n">
        <f aca="false">'LIBRO DIARIO'!B27</f>
        <v>46031</v>
      </c>
      <c r="C88" s="33" t="s">
        <v>154</v>
      </c>
      <c r="D88" s="33" t="n">
        <v>1</v>
      </c>
      <c r="E88" s="33" t="n">
        <v>4</v>
      </c>
      <c r="F88" s="50" t="n">
        <v>0</v>
      </c>
      <c r="G88" s="50" t="n">
        <f aca="false">'LIBRO DIARIO'!G31</f>
        <v>377.997395833333</v>
      </c>
      <c r="H88" s="51" t="n">
        <f aca="false">G88-F88</f>
        <v>377.997395833333</v>
      </c>
      <c r="J88" s="76" t="n">
        <f aca="false">'LIBRO DIARIO'!B27</f>
        <v>46031</v>
      </c>
      <c r="K88" s="77" t="s">
        <v>154</v>
      </c>
      <c r="L88" s="77" t="n">
        <v>1</v>
      </c>
      <c r="M88" s="77" t="n">
        <v>4</v>
      </c>
      <c r="N88" s="83" t="s">
        <v>173</v>
      </c>
      <c r="O88" s="83" t="n">
        <f aca="false">'LIBRO DIARIO'!G32</f>
        <v>321.333333333333</v>
      </c>
      <c r="P88" s="84" t="n">
        <v>979.77</v>
      </c>
    </row>
    <row r="89" customFormat="false" ht="15.75" hidden="false" customHeight="false" outlineLevel="0" collapsed="false">
      <c r="B89" s="49" t="n">
        <f aca="false">'LIBRO DIARIO'!B43</f>
        <v>46036</v>
      </c>
      <c r="C89" s="33" t="s">
        <v>154</v>
      </c>
      <c r="D89" s="33" t="n">
        <v>1</v>
      </c>
      <c r="E89" s="33" t="n">
        <v>6</v>
      </c>
      <c r="F89" s="33"/>
      <c r="G89" s="79" t="n">
        <f aca="false">'LIBRO DIARIO'!G47</f>
        <v>226.7984375</v>
      </c>
      <c r="H89" s="74" t="n">
        <f aca="false">(H88+G89)-F89</f>
        <v>604.795833333333</v>
      </c>
      <c r="J89" s="49" t="n">
        <f aca="false">'LIBRO DIARIO'!B43</f>
        <v>46036</v>
      </c>
      <c r="K89" s="33" t="s">
        <v>154</v>
      </c>
      <c r="L89" s="33" t="n">
        <v>1</v>
      </c>
      <c r="M89" s="33" t="n">
        <v>6</v>
      </c>
      <c r="N89" s="33"/>
      <c r="O89" s="85" t="n">
        <f aca="false">'LIBRO DIARIO'!G48</f>
        <v>192.8</v>
      </c>
      <c r="P89" s="86" t="n">
        <f aca="false">(P88+O89)-N89</f>
        <v>1172.57</v>
      </c>
    </row>
    <row r="90" customFormat="false" ht="15.75" hidden="false" customHeight="false" outlineLevel="0" collapsed="false">
      <c r="B90" s="47"/>
      <c r="C90" s="33"/>
      <c r="D90" s="33"/>
      <c r="E90" s="33"/>
      <c r="F90" s="33"/>
      <c r="G90" s="33"/>
      <c r="H90" s="48"/>
      <c r="J90" s="47"/>
      <c r="K90" s="33"/>
      <c r="L90" s="33"/>
      <c r="M90" s="33"/>
      <c r="N90" s="33"/>
      <c r="O90" s="33"/>
      <c r="P90" s="48"/>
    </row>
    <row r="91" customFormat="false" ht="15.75" hidden="false" customHeight="false" outlineLevel="0" collapsed="false">
      <c r="B91" s="47"/>
      <c r="C91" s="33"/>
      <c r="D91" s="33"/>
      <c r="E91" s="33"/>
      <c r="F91" s="33"/>
      <c r="G91" s="33"/>
      <c r="H91" s="48"/>
      <c r="J91" s="47"/>
      <c r="K91" s="33"/>
      <c r="L91" s="33"/>
      <c r="M91" s="33"/>
      <c r="N91" s="33"/>
      <c r="O91" s="33"/>
      <c r="P91" s="48"/>
    </row>
    <row r="92" customFormat="false" ht="15.75" hidden="false" customHeight="false" outlineLevel="0" collapsed="false">
      <c r="B92" s="47"/>
      <c r="C92" s="33"/>
      <c r="D92" s="33"/>
      <c r="E92" s="33"/>
      <c r="F92" s="33"/>
      <c r="G92" s="33"/>
      <c r="H92" s="48"/>
      <c r="J92" s="47"/>
      <c r="K92" s="33"/>
      <c r="L92" s="33"/>
      <c r="M92" s="33"/>
      <c r="N92" s="33"/>
      <c r="O92" s="33"/>
      <c r="P92" s="48"/>
    </row>
    <row r="93" customFormat="false" ht="16.5" hidden="false" customHeight="true" outlineLevel="0" collapsed="false">
      <c r="B93" s="52"/>
      <c r="C93" s="53"/>
      <c r="D93" s="53"/>
      <c r="E93" s="53"/>
      <c r="F93" s="53"/>
      <c r="G93" s="53"/>
      <c r="H93" s="63"/>
      <c r="J93" s="52"/>
      <c r="K93" s="53"/>
      <c r="L93" s="53"/>
      <c r="M93" s="53"/>
      <c r="N93" s="53"/>
      <c r="O93" s="53"/>
      <c r="P93" s="63"/>
    </row>
    <row r="94" customFormat="false" ht="16.5" hidden="false" customHeight="true" outlineLevel="0" collapsed="false">
      <c r="F94" s="59" t="n">
        <f aca="false">SUM(F88:F93)</f>
        <v>0</v>
      </c>
      <c r="G94" s="60" t="n">
        <f aca="false">SUM(G88:G93)</f>
        <v>604.795833333333</v>
      </c>
      <c r="H94" s="61" t="n">
        <f aca="false">SUM(H88:H93)</f>
        <v>982.793229166667</v>
      </c>
      <c r="N94" s="59" t="n">
        <f aca="false">SUM(N88:N93)</f>
        <v>0</v>
      </c>
      <c r="O94" s="60" t="n">
        <f aca="false">SUM(O88:O93)</f>
        <v>514.133333333333</v>
      </c>
      <c r="P94" s="59" t="n">
        <f aca="false">SUM(P88:P93)</f>
        <v>2152.34</v>
      </c>
    </row>
    <row r="96" customFormat="false" ht="16.5" hidden="false" customHeight="true" outlineLevel="0" collapsed="false"/>
    <row r="97" customFormat="false" ht="15.75" hidden="false" customHeight="false" outlineLevel="0" collapsed="false">
      <c r="B97" s="42" t="s">
        <v>144</v>
      </c>
      <c r="C97" s="42"/>
      <c r="D97" s="42"/>
      <c r="E97" s="42"/>
      <c r="F97" s="42"/>
      <c r="G97" s="42"/>
      <c r="H97" s="42"/>
      <c r="J97" s="42" t="s">
        <v>144</v>
      </c>
      <c r="K97" s="42"/>
      <c r="L97" s="42"/>
      <c r="M97" s="42"/>
      <c r="N97" s="42"/>
      <c r="O97" s="42"/>
      <c r="P97" s="42"/>
    </row>
    <row r="98" customFormat="false" ht="15.75" hidden="false" customHeight="false" outlineLevel="0" collapsed="false">
      <c r="B98" s="43" t="s">
        <v>145</v>
      </c>
      <c r="C98" s="43"/>
      <c r="D98" s="43"/>
      <c r="E98" s="43"/>
      <c r="F98" s="43"/>
      <c r="G98" s="43"/>
      <c r="H98" s="43"/>
      <c r="J98" s="43" t="s">
        <v>145</v>
      </c>
      <c r="K98" s="43"/>
      <c r="L98" s="43"/>
      <c r="M98" s="43"/>
      <c r="N98" s="43"/>
      <c r="O98" s="43"/>
      <c r="P98" s="43"/>
    </row>
    <row r="99" customFormat="false" ht="15.75" hidden="false" customHeight="false" outlineLevel="0" collapsed="false">
      <c r="B99" s="44" t="s">
        <v>146</v>
      </c>
      <c r="C99" s="45" t="str">
        <f aca="false">'LIBRO DIARIO'!C33</f>
        <v>          VACACIONES</v>
      </c>
      <c r="D99" s="45"/>
      <c r="E99" s="45"/>
      <c r="F99" s="45"/>
      <c r="G99" s="45" t="s">
        <v>147</v>
      </c>
      <c r="H99" s="46" t="n">
        <v>15</v>
      </c>
      <c r="J99" s="44" t="s">
        <v>146</v>
      </c>
      <c r="K99" s="45" t="str">
        <f aca="false">'LIBRO DIARIO'!C50</f>
        <v>          SUELDOS POR PAGAR</v>
      </c>
      <c r="L99" s="45"/>
      <c r="M99" s="45"/>
      <c r="N99" s="45"/>
      <c r="O99" s="45" t="s">
        <v>147</v>
      </c>
      <c r="P99" s="46" t="n">
        <v>16</v>
      </c>
    </row>
    <row r="100" customFormat="false" ht="15.75" hidden="false" customHeight="false" outlineLevel="0" collapsed="false">
      <c r="B100" s="47" t="s">
        <v>44</v>
      </c>
      <c r="C100" s="33" t="s">
        <v>45</v>
      </c>
      <c r="D100" s="33" t="s">
        <v>148</v>
      </c>
      <c r="E100" s="33" t="s">
        <v>149</v>
      </c>
      <c r="F100" s="33" t="s">
        <v>150</v>
      </c>
      <c r="G100" s="33" t="s">
        <v>49</v>
      </c>
      <c r="H100" s="48" t="s">
        <v>151</v>
      </c>
      <c r="J100" s="47" t="s">
        <v>44</v>
      </c>
      <c r="K100" s="33" t="s">
        <v>45</v>
      </c>
      <c r="L100" s="33" t="s">
        <v>148</v>
      </c>
      <c r="M100" s="33" t="s">
        <v>149</v>
      </c>
      <c r="N100" s="33" t="s">
        <v>150</v>
      </c>
      <c r="O100" s="33" t="s">
        <v>49</v>
      </c>
      <c r="P100" s="48" t="s">
        <v>151</v>
      </c>
    </row>
    <row r="101" customFormat="false" ht="15.75" hidden="false" customHeight="false" outlineLevel="0" collapsed="false">
      <c r="B101" s="49" t="n">
        <f aca="false">'LIBRO DIARIO'!B27</f>
        <v>46031</v>
      </c>
      <c r="C101" s="33" t="s">
        <v>154</v>
      </c>
      <c r="D101" s="33" t="n">
        <v>1</v>
      </c>
      <c r="E101" s="33" t="n">
        <v>4</v>
      </c>
      <c r="F101" s="50" t="n">
        <f aca="false">'[1]LIBRO DIARIO'!F70</f>
        <v>0</v>
      </c>
      <c r="G101" s="50" t="n">
        <f aca="false">'LIBRO DIARIO'!G33</f>
        <v>188.998697916667</v>
      </c>
      <c r="H101" s="51" t="n">
        <f aca="false">G101-F101</f>
        <v>188.998697916667</v>
      </c>
      <c r="J101" s="49" t="n">
        <f aca="false">'LIBRO DIARIO'!B43</f>
        <v>46036</v>
      </c>
      <c r="K101" s="33" t="s">
        <v>154</v>
      </c>
      <c r="L101" s="33" t="n">
        <v>1</v>
      </c>
      <c r="M101" s="33" t="n">
        <v>6</v>
      </c>
      <c r="N101" s="50" t="n">
        <f aca="false">'[1]LIBRO DIARIO'!N70</f>
        <v>0</v>
      </c>
      <c r="O101" s="50" t="n">
        <f aca="false">'LIBRO DIARIO'!G50</f>
        <v>2588.388696875</v>
      </c>
      <c r="P101" s="51" t="n">
        <f aca="false">O101-N101</f>
        <v>2588.388696875</v>
      </c>
    </row>
    <row r="102" customFormat="false" ht="15.75" hidden="false" customHeight="false" outlineLevel="0" collapsed="false">
      <c r="B102" s="49" t="n">
        <f aca="false">'LIBRO DIARIO'!B43</f>
        <v>46036</v>
      </c>
      <c r="C102" s="33" t="s">
        <v>154</v>
      </c>
      <c r="D102" s="33" t="n">
        <v>1</v>
      </c>
      <c r="E102" s="33" t="n">
        <v>6</v>
      </c>
      <c r="F102" s="33"/>
      <c r="G102" s="79" t="n">
        <f aca="false">'LIBRO DIARIO'!G49</f>
        <v>113.39921875</v>
      </c>
      <c r="H102" s="74" t="n">
        <f aca="false">(H101+G102)-F102</f>
        <v>302.397916666667</v>
      </c>
      <c r="J102" s="47"/>
      <c r="K102" s="33"/>
      <c r="L102" s="33"/>
      <c r="M102" s="33"/>
      <c r="N102" s="33"/>
      <c r="O102" s="33"/>
      <c r="P102" s="48"/>
    </row>
    <row r="103" customFormat="false" ht="15.75" hidden="false" customHeight="false" outlineLevel="0" collapsed="false">
      <c r="B103" s="47"/>
      <c r="C103" s="33"/>
      <c r="D103" s="33"/>
      <c r="E103" s="33"/>
      <c r="F103" s="33"/>
      <c r="G103" s="33"/>
      <c r="H103" s="48"/>
      <c r="J103" s="47"/>
      <c r="K103" s="33"/>
      <c r="L103" s="33"/>
      <c r="M103" s="33"/>
      <c r="N103" s="33"/>
      <c r="O103" s="33"/>
      <c r="P103" s="48"/>
    </row>
    <row r="104" customFormat="false" ht="15.75" hidden="false" customHeight="false" outlineLevel="0" collapsed="false">
      <c r="B104" s="47"/>
      <c r="C104" s="33"/>
      <c r="D104" s="33"/>
      <c r="E104" s="33"/>
      <c r="F104" s="33"/>
      <c r="G104" s="33"/>
      <c r="H104" s="48"/>
      <c r="J104" s="47"/>
      <c r="K104" s="33"/>
      <c r="L104" s="33"/>
      <c r="M104" s="33"/>
      <c r="N104" s="33"/>
      <c r="O104" s="33"/>
      <c r="P104" s="48"/>
    </row>
    <row r="105" customFormat="false" ht="15.75" hidden="false" customHeight="false" outlineLevel="0" collapsed="false">
      <c r="B105" s="47"/>
      <c r="C105" s="33"/>
      <c r="D105" s="33"/>
      <c r="E105" s="33"/>
      <c r="F105" s="33"/>
      <c r="G105" s="33"/>
      <c r="H105" s="48"/>
      <c r="J105" s="47"/>
      <c r="K105" s="33"/>
      <c r="L105" s="33"/>
      <c r="M105" s="33"/>
      <c r="N105" s="33"/>
      <c r="O105" s="33"/>
      <c r="P105" s="48"/>
    </row>
    <row r="106" customFormat="false" ht="16.5" hidden="false" customHeight="true" outlineLevel="0" collapsed="false">
      <c r="B106" s="52"/>
      <c r="C106" s="53"/>
      <c r="D106" s="53"/>
      <c r="E106" s="53"/>
      <c r="F106" s="53"/>
      <c r="G106" s="53"/>
      <c r="H106" s="63"/>
      <c r="J106" s="52"/>
      <c r="K106" s="53"/>
      <c r="L106" s="53"/>
      <c r="M106" s="53"/>
      <c r="N106" s="53"/>
      <c r="O106" s="53"/>
      <c r="P106" s="63"/>
    </row>
    <row r="107" customFormat="false" ht="16.5" hidden="false" customHeight="true" outlineLevel="0" collapsed="false">
      <c r="F107" s="59" t="n">
        <f aca="false">SUM(F101:F106)</f>
        <v>0</v>
      </c>
      <c r="G107" s="60" t="n">
        <f aca="false">SUM(G101:G106)</f>
        <v>302.397916666667</v>
      </c>
      <c r="H107" s="61" t="n">
        <f aca="false">SUM(H101:H106)</f>
        <v>491.396614583333</v>
      </c>
      <c r="N107" s="59" t="n">
        <f aca="false">SUM(N101:N106)</f>
        <v>0</v>
      </c>
      <c r="O107" s="60" t="n">
        <f aca="false">SUM(O101:O106)</f>
        <v>2588.388696875</v>
      </c>
      <c r="P107" s="61" t="n">
        <f aca="false">SUM(P101:P106)</f>
        <v>2588.388696875</v>
      </c>
    </row>
    <row r="109" customFormat="false" ht="16.5" hidden="false" customHeight="true" outlineLevel="0" collapsed="false"/>
    <row r="110" customFormat="false" ht="15.75" hidden="false" customHeight="false" outlineLevel="0" collapsed="false">
      <c r="B110" s="42" t="s">
        <v>144</v>
      </c>
      <c r="C110" s="42"/>
      <c r="D110" s="42"/>
      <c r="E110" s="42"/>
      <c r="F110" s="42"/>
      <c r="G110" s="42"/>
      <c r="H110" s="42"/>
      <c r="J110" s="42" t="s">
        <v>144</v>
      </c>
      <c r="K110" s="42"/>
      <c r="L110" s="42"/>
      <c r="M110" s="42"/>
      <c r="N110" s="42"/>
      <c r="O110" s="42"/>
      <c r="P110" s="42"/>
    </row>
    <row r="111" customFormat="false" ht="15.75" hidden="false" customHeight="false" outlineLevel="0" collapsed="false">
      <c r="B111" s="43" t="s">
        <v>145</v>
      </c>
      <c r="C111" s="43"/>
      <c r="D111" s="43"/>
      <c r="E111" s="43"/>
      <c r="F111" s="43"/>
      <c r="G111" s="43"/>
      <c r="H111" s="43"/>
      <c r="J111" s="43" t="s">
        <v>145</v>
      </c>
      <c r="K111" s="43"/>
      <c r="L111" s="43"/>
      <c r="M111" s="43"/>
      <c r="N111" s="43"/>
      <c r="O111" s="43"/>
      <c r="P111" s="43"/>
    </row>
    <row r="112" customFormat="false" ht="15.75" hidden="false" customHeight="false" outlineLevel="0" collapsed="false">
      <c r="B112" s="44" t="s">
        <v>146</v>
      </c>
      <c r="C112" s="45" t="str">
        <f aca="false">'LIBRO DIARIO'!C60</f>
        <v>ENERGÍA ELÉCTRICA</v>
      </c>
      <c r="D112" s="45"/>
      <c r="E112" s="45"/>
      <c r="F112" s="45"/>
      <c r="G112" s="45" t="s">
        <v>147</v>
      </c>
      <c r="H112" s="46" t="n">
        <v>17</v>
      </c>
      <c r="J112" s="44" t="s">
        <v>146</v>
      </c>
      <c r="K112" s="45" t="str">
        <f aca="false">'LIBRO DIARIO'!C61</f>
        <v>MANTENIMIENTO</v>
      </c>
      <c r="L112" s="45"/>
      <c r="M112" s="45"/>
      <c r="N112" s="45"/>
      <c r="O112" s="45" t="s">
        <v>147</v>
      </c>
      <c r="P112" s="46" t="n">
        <v>18</v>
      </c>
    </row>
    <row r="113" customFormat="false" ht="15.75" hidden="false" customHeight="false" outlineLevel="0" collapsed="false">
      <c r="B113" s="47" t="s">
        <v>44</v>
      </c>
      <c r="C113" s="33" t="s">
        <v>45</v>
      </c>
      <c r="D113" s="33" t="s">
        <v>148</v>
      </c>
      <c r="E113" s="33" t="s">
        <v>149</v>
      </c>
      <c r="F113" s="33" t="s">
        <v>150</v>
      </c>
      <c r="G113" s="33" t="s">
        <v>49</v>
      </c>
      <c r="H113" s="48" t="s">
        <v>151</v>
      </c>
      <c r="J113" s="47" t="s">
        <v>44</v>
      </c>
      <c r="K113" s="33" t="s">
        <v>45</v>
      </c>
      <c r="L113" s="33" t="s">
        <v>148</v>
      </c>
      <c r="M113" s="33" t="s">
        <v>149</v>
      </c>
      <c r="N113" s="33" t="s">
        <v>150</v>
      </c>
      <c r="O113" s="33" t="s">
        <v>49</v>
      </c>
      <c r="P113" s="48" t="s">
        <v>151</v>
      </c>
    </row>
    <row r="114" customFormat="false" ht="15.75" hidden="false" customHeight="false" outlineLevel="0" collapsed="false">
      <c r="B114" s="49" t="n">
        <f aca="false">'LIBRO DIARIO'!B59</f>
        <v>46036</v>
      </c>
      <c r="C114" s="33" t="s">
        <v>152</v>
      </c>
      <c r="D114" s="33" t="n">
        <v>1</v>
      </c>
      <c r="E114" s="33" t="n">
        <v>8</v>
      </c>
      <c r="F114" s="50" t="n">
        <f aca="false">'LIBRO DIARIO'!F60</f>
        <v>187.5</v>
      </c>
      <c r="G114" s="50"/>
      <c r="H114" s="51" t="n">
        <f aca="false">F114-G114</f>
        <v>187.5</v>
      </c>
      <c r="J114" s="49" t="n">
        <f aca="false">'LIBRO DIARIO'!B59</f>
        <v>46036</v>
      </c>
      <c r="K114" s="33" t="s">
        <v>152</v>
      </c>
      <c r="L114" s="33" t="n">
        <v>1</v>
      </c>
      <c r="M114" s="33" t="n">
        <v>8</v>
      </c>
      <c r="N114" s="50" t="n">
        <f aca="false">'LIBRO DIARIO'!F61</f>
        <v>281.25</v>
      </c>
      <c r="O114" s="50" t="n">
        <f aca="false">'LIBRO DIARIO'!O46</f>
        <v>0</v>
      </c>
      <c r="P114" s="51" t="n">
        <f aca="false">N114-O114</f>
        <v>281.25</v>
      </c>
    </row>
    <row r="115" customFormat="false" ht="15.75" hidden="false" customHeight="false" outlineLevel="0" collapsed="false">
      <c r="B115" s="49" t="n">
        <f aca="false">'LIBRO DIARIO'!B67</f>
        <v>46036</v>
      </c>
      <c r="C115" s="33" t="s">
        <v>174</v>
      </c>
      <c r="D115" s="33" t="n">
        <v>1</v>
      </c>
      <c r="E115" s="33" t="n">
        <v>9</v>
      </c>
      <c r="F115" s="33"/>
      <c r="G115" s="87" t="n">
        <f aca="false">'LIBRO DIARIO'!G69</f>
        <v>187.5</v>
      </c>
      <c r="H115" s="74" t="n">
        <f aca="false">(H114+F115)-G115</f>
        <v>0</v>
      </c>
      <c r="J115" s="49" t="n">
        <f aca="false">'LIBRO DIARIO'!B67</f>
        <v>46036</v>
      </c>
      <c r="K115" s="33" t="s">
        <v>174</v>
      </c>
      <c r="L115" s="33" t="n">
        <v>1</v>
      </c>
      <c r="M115" s="33" t="n">
        <v>9</v>
      </c>
      <c r="N115" s="33"/>
      <c r="O115" s="87" t="n">
        <f aca="false">'LIBRO DIARIO'!G70</f>
        <v>281.25</v>
      </c>
      <c r="P115" s="74" t="n">
        <f aca="false">(P114+N115)-O115</f>
        <v>0</v>
      </c>
    </row>
    <row r="116" customFormat="false" ht="15.75" hidden="false" customHeight="false" outlineLevel="0" collapsed="false">
      <c r="B116" s="47"/>
      <c r="C116" s="33"/>
      <c r="D116" s="33"/>
      <c r="E116" s="33"/>
      <c r="F116" s="33"/>
      <c r="G116" s="33"/>
      <c r="H116" s="48"/>
      <c r="J116" s="47"/>
      <c r="K116" s="33"/>
      <c r="L116" s="33"/>
      <c r="M116" s="33"/>
      <c r="N116" s="33"/>
      <c r="O116" s="33"/>
      <c r="P116" s="48"/>
    </row>
    <row r="117" customFormat="false" ht="15.75" hidden="false" customHeight="false" outlineLevel="0" collapsed="false">
      <c r="B117" s="47"/>
      <c r="C117" s="33"/>
      <c r="D117" s="33"/>
      <c r="E117" s="33"/>
      <c r="F117" s="33"/>
      <c r="G117" s="33"/>
      <c r="H117" s="48"/>
      <c r="J117" s="47"/>
      <c r="K117" s="33"/>
      <c r="L117" s="33"/>
      <c r="M117" s="33"/>
      <c r="N117" s="33"/>
      <c r="O117" s="33"/>
      <c r="P117" s="48"/>
    </row>
    <row r="118" customFormat="false" ht="15.75" hidden="false" customHeight="false" outlineLevel="0" collapsed="false">
      <c r="B118" s="47"/>
      <c r="C118" s="33"/>
      <c r="D118" s="33"/>
      <c r="E118" s="33"/>
      <c r="F118" s="33"/>
      <c r="G118" s="33"/>
      <c r="H118" s="48"/>
      <c r="J118" s="47"/>
      <c r="K118" s="33"/>
      <c r="L118" s="33"/>
      <c r="M118" s="33"/>
      <c r="N118" s="33"/>
      <c r="O118" s="33"/>
      <c r="P118" s="48"/>
    </row>
    <row r="119" customFormat="false" ht="16.5" hidden="false" customHeight="true" outlineLevel="0" collapsed="false">
      <c r="B119" s="52"/>
      <c r="C119" s="53"/>
      <c r="D119" s="53"/>
      <c r="E119" s="53"/>
      <c r="F119" s="53"/>
      <c r="G119" s="53"/>
      <c r="H119" s="63"/>
      <c r="J119" s="52"/>
      <c r="K119" s="53"/>
      <c r="L119" s="53"/>
      <c r="M119" s="53"/>
      <c r="N119" s="53"/>
      <c r="O119" s="53"/>
      <c r="P119" s="63"/>
    </row>
    <row r="120" customFormat="false" ht="16.5" hidden="false" customHeight="true" outlineLevel="0" collapsed="false">
      <c r="F120" s="59" t="n">
        <f aca="false">SUM(F114:F119)</f>
        <v>187.5</v>
      </c>
      <c r="G120" s="60" t="n">
        <f aca="false">SUM(G114:G119)</f>
        <v>187.5</v>
      </c>
      <c r="H120" s="61" t="n">
        <f aca="false">SUM(H114:H119)</f>
        <v>187.5</v>
      </c>
      <c r="N120" s="59" t="n">
        <f aca="false">SUM(N114:N119)</f>
        <v>281.25</v>
      </c>
      <c r="O120" s="60" t="n">
        <f aca="false">SUM(O114:O119)</f>
        <v>281.25</v>
      </c>
      <c r="P120" s="61" t="n">
        <f aca="false">SUM(P114:P119)</f>
        <v>281.25</v>
      </c>
    </row>
    <row r="123" customFormat="false" ht="16.5" hidden="false" customHeight="true" outlineLevel="0" collapsed="false"/>
    <row r="124" customFormat="false" ht="15.75" hidden="false" customHeight="false" outlineLevel="0" collapsed="false">
      <c r="B124" s="42" t="s">
        <v>144</v>
      </c>
      <c r="C124" s="42"/>
      <c r="D124" s="42"/>
      <c r="E124" s="42"/>
      <c r="F124" s="42"/>
      <c r="G124" s="42"/>
      <c r="H124" s="42"/>
      <c r="J124" s="42" t="s">
        <v>144</v>
      </c>
      <c r="K124" s="42"/>
      <c r="L124" s="42"/>
      <c r="M124" s="42"/>
      <c r="N124" s="42"/>
      <c r="O124" s="42"/>
      <c r="P124" s="42"/>
    </row>
    <row r="125" customFormat="false" ht="15.75" hidden="false" customHeight="false" outlineLevel="0" collapsed="false">
      <c r="B125" s="43" t="s">
        <v>145</v>
      </c>
      <c r="C125" s="43"/>
      <c r="D125" s="43"/>
      <c r="E125" s="43"/>
      <c r="F125" s="43"/>
      <c r="G125" s="43"/>
      <c r="H125" s="43"/>
      <c r="J125" s="43" t="s">
        <v>145</v>
      </c>
      <c r="K125" s="43"/>
      <c r="L125" s="43"/>
      <c r="M125" s="43"/>
      <c r="N125" s="43"/>
      <c r="O125" s="43"/>
      <c r="P125" s="43"/>
    </row>
    <row r="126" customFormat="false" ht="15.75" hidden="false" customHeight="false" outlineLevel="0" collapsed="false">
      <c r="B126" s="44" t="s">
        <v>146</v>
      </c>
      <c r="C126" s="45" t="str">
        <f aca="false">'LIBRO DIARIO'!C62</f>
        <v>SEGUROS DE FÁBRICA</v>
      </c>
      <c r="D126" s="45"/>
      <c r="E126" s="45"/>
      <c r="F126" s="45"/>
      <c r="G126" s="45" t="s">
        <v>147</v>
      </c>
      <c r="H126" s="46" t="n">
        <v>19</v>
      </c>
      <c r="J126" s="44" t="s">
        <v>146</v>
      </c>
      <c r="K126" s="45" t="str">
        <f aca="false">'LIBRO DIARIO'!C63</f>
        <v>DEPRECIACIÓN MAQUINARIA</v>
      </c>
      <c r="L126" s="45"/>
      <c r="M126" s="45"/>
      <c r="N126" s="45"/>
      <c r="O126" s="45" t="s">
        <v>147</v>
      </c>
      <c r="P126" s="46" t="n">
        <v>20</v>
      </c>
    </row>
    <row r="127" customFormat="false" ht="15.75" hidden="false" customHeight="false" outlineLevel="0" collapsed="false">
      <c r="B127" s="47" t="s">
        <v>44</v>
      </c>
      <c r="C127" s="33" t="s">
        <v>45</v>
      </c>
      <c r="D127" s="33" t="s">
        <v>148</v>
      </c>
      <c r="E127" s="33" t="s">
        <v>149</v>
      </c>
      <c r="F127" s="33" t="s">
        <v>150</v>
      </c>
      <c r="G127" s="33" t="s">
        <v>49</v>
      </c>
      <c r="H127" s="48" t="s">
        <v>151</v>
      </c>
      <c r="J127" s="47" t="s">
        <v>44</v>
      </c>
      <c r="K127" s="33" t="s">
        <v>45</v>
      </c>
      <c r="L127" s="33" t="s">
        <v>148</v>
      </c>
      <c r="M127" s="33" t="s">
        <v>149</v>
      </c>
      <c r="N127" s="33" t="s">
        <v>150</v>
      </c>
      <c r="O127" s="33" t="s">
        <v>49</v>
      </c>
      <c r="P127" s="48" t="s">
        <v>151</v>
      </c>
    </row>
    <row r="128" customFormat="false" ht="15.75" hidden="false" customHeight="false" outlineLevel="0" collapsed="false">
      <c r="B128" s="49" t="n">
        <f aca="false">'LIBRO DIARIO'!B59</f>
        <v>46036</v>
      </c>
      <c r="C128" s="33" t="s">
        <v>152</v>
      </c>
      <c r="D128" s="33" t="n">
        <v>1</v>
      </c>
      <c r="E128" s="33" t="n">
        <v>8</v>
      </c>
      <c r="F128" s="50" t="n">
        <f aca="false">'LIBRO DIARIO'!F62</f>
        <v>131.25</v>
      </c>
      <c r="G128" s="50" t="n">
        <f aca="false">'LIBRO DIARIO'!G60</f>
        <v>0</v>
      </c>
      <c r="H128" s="51" t="n">
        <f aca="false">F128-G128</f>
        <v>131.25</v>
      </c>
      <c r="J128" s="49" t="n">
        <f aca="false">'LIBRO DIARIO'!B59</f>
        <v>46036</v>
      </c>
      <c r="K128" s="33" t="s">
        <v>152</v>
      </c>
      <c r="L128" s="33" t="n">
        <v>1</v>
      </c>
      <c r="M128" s="33" t="n">
        <v>8</v>
      </c>
      <c r="N128" s="50" t="n">
        <f aca="false">'LIBRO DIARIO'!F63</f>
        <v>218.75</v>
      </c>
      <c r="O128" s="50" t="n">
        <f aca="false">'LIBRO DIARIO'!O60</f>
        <v>0</v>
      </c>
      <c r="P128" s="51" t="n">
        <f aca="false">N128-O128</f>
        <v>218.75</v>
      </c>
    </row>
    <row r="129" customFormat="false" ht="15.75" hidden="false" customHeight="false" outlineLevel="0" collapsed="false">
      <c r="B129" s="49" t="n">
        <f aca="false">'LIBRO DIARIO'!B67</f>
        <v>46036</v>
      </c>
      <c r="C129" s="33" t="s">
        <v>174</v>
      </c>
      <c r="D129" s="33" t="n">
        <v>1</v>
      </c>
      <c r="E129" s="33" t="n">
        <v>9</v>
      </c>
      <c r="F129" s="33"/>
      <c r="G129" s="87" t="n">
        <f aca="false">'LIBRO DIARIO'!G71</f>
        <v>131.25</v>
      </c>
      <c r="H129" s="74" t="n">
        <f aca="false">(H128+F129)-G129</f>
        <v>0</v>
      </c>
      <c r="J129" s="49" t="n">
        <f aca="false">'LIBRO DIARIO'!B67</f>
        <v>46036</v>
      </c>
      <c r="K129" s="33" t="s">
        <v>174</v>
      </c>
      <c r="L129" s="33" t="n">
        <v>1</v>
      </c>
      <c r="M129" s="33" t="n">
        <v>9</v>
      </c>
      <c r="N129" s="33"/>
      <c r="O129" s="87" t="n">
        <f aca="false">'LIBRO DIARIO'!G72</f>
        <v>218.75</v>
      </c>
      <c r="P129" s="74" t="n">
        <f aca="false">(P128+N129)-O129</f>
        <v>0</v>
      </c>
    </row>
    <row r="130" customFormat="false" ht="15.75" hidden="false" customHeight="false" outlineLevel="0" collapsed="false">
      <c r="B130" s="47"/>
      <c r="C130" s="33"/>
      <c r="D130" s="33"/>
      <c r="E130" s="33"/>
      <c r="F130" s="33"/>
      <c r="G130" s="33"/>
      <c r="H130" s="48"/>
      <c r="J130" s="47"/>
      <c r="K130" s="33"/>
      <c r="L130" s="33"/>
      <c r="M130" s="33"/>
      <c r="N130" s="33"/>
      <c r="O130" s="33"/>
      <c r="P130" s="48"/>
    </row>
    <row r="131" customFormat="false" ht="15.75" hidden="false" customHeight="false" outlineLevel="0" collapsed="false">
      <c r="B131" s="47"/>
      <c r="C131" s="33"/>
      <c r="D131" s="33"/>
      <c r="E131" s="33"/>
      <c r="F131" s="33"/>
      <c r="G131" s="33"/>
      <c r="H131" s="48"/>
      <c r="J131" s="47"/>
      <c r="K131" s="33"/>
      <c r="L131" s="33"/>
      <c r="M131" s="33"/>
      <c r="N131" s="33"/>
      <c r="O131" s="33"/>
      <c r="P131" s="48"/>
    </row>
    <row r="132" customFormat="false" ht="15.75" hidden="false" customHeight="false" outlineLevel="0" collapsed="false">
      <c r="B132" s="47"/>
      <c r="C132" s="33"/>
      <c r="D132" s="33"/>
      <c r="E132" s="33"/>
      <c r="F132" s="33"/>
      <c r="G132" s="33"/>
      <c r="H132" s="48"/>
      <c r="J132" s="47"/>
      <c r="K132" s="33"/>
      <c r="L132" s="33"/>
      <c r="M132" s="33"/>
      <c r="N132" s="33"/>
      <c r="O132" s="33"/>
      <c r="P132" s="48"/>
    </row>
    <row r="133" customFormat="false" ht="16.5" hidden="false" customHeight="true" outlineLevel="0" collapsed="false">
      <c r="B133" s="52"/>
      <c r="C133" s="53"/>
      <c r="D133" s="53"/>
      <c r="E133" s="53"/>
      <c r="F133" s="53"/>
      <c r="G133" s="53"/>
      <c r="H133" s="63"/>
      <c r="J133" s="52"/>
      <c r="K133" s="53"/>
      <c r="L133" s="53"/>
      <c r="M133" s="53"/>
      <c r="N133" s="53"/>
      <c r="O133" s="53"/>
      <c r="P133" s="63"/>
    </row>
    <row r="134" customFormat="false" ht="16.5" hidden="false" customHeight="true" outlineLevel="0" collapsed="false">
      <c r="F134" s="59" t="n">
        <f aca="false">SUM(F128:F133)</f>
        <v>131.25</v>
      </c>
      <c r="G134" s="60" t="n">
        <f aca="false">SUM(G128:G133)</f>
        <v>131.25</v>
      </c>
      <c r="H134" s="61" t="n">
        <f aca="false">SUM(H128:H133)</f>
        <v>131.25</v>
      </c>
      <c r="N134" s="59" t="n">
        <f aca="false">SUM(N128:N133)</f>
        <v>218.75</v>
      </c>
      <c r="O134" s="60" t="n">
        <f aca="false">SUM(O128:O133)</f>
        <v>218.75</v>
      </c>
      <c r="P134" s="61" t="n">
        <f aca="false">SUM(P128:P133)</f>
        <v>218.75</v>
      </c>
    </row>
    <row r="136" customFormat="false" ht="16.5" hidden="false" customHeight="true" outlineLevel="0" collapsed="false"/>
    <row r="137" customFormat="false" ht="15.75" hidden="false" customHeight="false" outlineLevel="0" collapsed="false">
      <c r="B137" s="42" t="s">
        <v>144</v>
      </c>
      <c r="C137" s="42"/>
      <c r="D137" s="42"/>
      <c r="E137" s="42"/>
      <c r="F137" s="42"/>
      <c r="G137" s="42"/>
      <c r="H137" s="42"/>
      <c r="J137" s="42" t="s">
        <v>144</v>
      </c>
      <c r="K137" s="42"/>
      <c r="L137" s="42"/>
      <c r="M137" s="42"/>
      <c r="N137" s="42"/>
      <c r="O137" s="42"/>
      <c r="P137" s="42"/>
    </row>
    <row r="138" customFormat="false" ht="15.75" hidden="false" customHeight="false" outlineLevel="0" collapsed="false">
      <c r="B138" s="43" t="s">
        <v>145</v>
      </c>
      <c r="C138" s="43"/>
      <c r="D138" s="43"/>
      <c r="E138" s="43"/>
      <c r="F138" s="43"/>
      <c r="G138" s="43"/>
      <c r="H138" s="43"/>
      <c r="J138" s="43" t="s">
        <v>145</v>
      </c>
      <c r="K138" s="43"/>
      <c r="L138" s="43"/>
      <c r="M138" s="43"/>
      <c r="N138" s="43"/>
      <c r="O138" s="43"/>
      <c r="P138" s="43"/>
    </row>
    <row r="139" customFormat="false" ht="15.75" hidden="false" customHeight="false" outlineLevel="0" collapsed="false">
      <c r="B139" s="44" t="s">
        <v>146</v>
      </c>
      <c r="C139" s="45" t="str">
        <f aca="false">'LIBRO DIARIO'!C64</f>
        <v>          CUENTAS POR PAGAR</v>
      </c>
      <c r="D139" s="45"/>
      <c r="E139" s="45"/>
      <c r="F139" s="45"/>
      <c r="G139" s="45" t="s">
        <v>147</v>
      </c>
      <c r="H139" s="46" t="n">
        <v>21</v>
      </c>
      <c r="J139" s="44" t="s">
        <v>146</v>
      </c>
      <c r="K139" s="45" t="str">
        <f aca="false">'LIBRO DIARIO'!C65</f>
        <v>          DEPRE. ACUM. MAQUINARIA</v>
      </c>
      <c r="L139" s="45"/>
      <c r="M139" s="45"/>
      <c r="N139" s="45"/>
      <c r="O139" s="45" t="s">
        <v>147</v>
      </c>
      <c r="P139" s="46" t="n">
        <v>22</v>
      </c>
    </row>
    <row r="140" customFormat="false" ht="15.75" hidden="false" customHeight="false" outlineLevel="0" collapsed="false">
      <c r="B140" s="47" t="s">
        <v>44</v>
      </c>
      <c r="C140" s="33" t="s">
        <v>45</v>
      </c>
      <c r="D140" s="33" t="s">
        <v>148</v>
      </c>
      <c r="E140" s="33" t="s">
        <v>149</v>
      </c>
      <c r="F140" s="33" t="s">
        <v>150</v>
      </c>
      <c r="G140" s="33" t="s">
        <v>49</v>
      </c>
      <c r="H140" s="48" t="s">
        <v>151</v>
      </c>
      <c r="J140" s="47" t="s">
        <v>44</v>
      </c>
      <c r="K140" s="33" t="s">
        <v>45</v>
      </c>
      <c r="L140" s="33" t="s">
        <v>148</v>
      </c>
      <c r="M140" s="33" t="s">
        <v>149</v>
      </c>
      <c r="N140" s="33" t="s">
        <v>150</v>
      </c>
      <c r="O140" s="33" t="s">
        <v>49</v>
      </c>
      <c r="P140" s="48" t="s">
        <v>151</v>
      </c>
    </row>
    <row r="141" customFormat="false" ht="15.75" hidden="false" customHeight="false" outlineLevel="0" collapsed="false">
      <c r="B141" s="49" t="n">
        <f aca="false">'LIBRO DIARIO'!B59</f>
        <v>46036</v>
      </c>
      <c r="C141" s="33" t="s">
        <v>162</v>
      </c>
      <c r="D141" s="33" t="n">
        <v>1</v>
      </c>
      <c r="E141" s="33" t="n">
        <v>8</v>
      </c>
      <c r="F141" s="50" t="n">
        <f aca="false">'[1]LIBRO DIARIO'!F110</f>
        <v>0</v>
      </c>
      <c r="G141" s="50" t="n">
        <f aca="false">'LIBRO DIARIO'!G64</f>
        <v>600</v>
      </c>
      <c r="H141" s="51" t="n">
        <f aca="false">G141-F141</f>
        <v>600</v>
      </c>
      <c r="J141" s="49" t="n">
        <f aca="false">'LIBRO DIARIO'!B59</f>
        <v>46036</v>
      </c>
      <c r="K141" s="33" t="s">
        <v>162</v>
      </c>
      <c r="L141" s="33" t="n">
        <v>1</v>
      </c>
      <c r="M141" s="33" t="n">
        <v>8</v>
      </c>
      <c r="N141" s="50" t="n">
        <f aca="false">'[1]LIBRO DIARIO'!N110</f>
        <v>0</v>
      </c>
      <c r="O141" s="50" t="n">
        <f aca="false">'LIBRO DIARIO'!G65</f>
        <v>218.75</v>
      </c>
      <c r="P141" s="51" t="n">
        <f aca="false">O141-N141</f>
        <v>218.75</v>
      </c>
    </row>
    <row r="142" customFormat="false" ht="15.75" hidden="false" customHeight="false" outlineLevel="0" collapsed="false">
      <c r="B142" s="47"/>
      <c r="C142" s="33"/>
      <c r="D142" s="33"/>
      <c r="E142" s="33"/>
      <c r="F142" s="33"/>
      <c r="G142" s="33"/>
      <c r="H142" s="48"/>
      <c r="J142" s="47"/>
      <c r="K142" s="33"/>
      <c r="L142" s="33"/>
      <c r="M142" s="33"/>
      <c r="N142" s="33"/>
      <c r="O142" s="33"/>
      <c r="P142" s="48"/>
    </row>
    <row r="143" customFormat="false" ht="15.75" hidden="false" customHeight="false" outlineLevel="0" collapsed="false">
      <c r="B143" s="47"/>
      <c r="C143" s="33"/>
      <c r="D143" s="33"/>
      <c r="E143" s="33"/>
      <c r="F143" s="33"/>
      <c r="G143" s="33"/>
      <c r="H143" s="48"/>
      <c r="J143" s="47"/>
      <c r="K143" s="33"/>
      <c r="L143" s="33"/>
      <c r="M143" s="33"/>
      <c r="N143" s="33"/>
      <c r="O143" s="33"/>
      <c r="P143" s="48"/>
    </row>
    <row r="144" customFormat="false" ht="15.75" hidden="false" customHeight="false" outlineLevel="0" collapsed="false">
      <c r="B144" s="47"/>
      <c r="C144" s="33"/>
      <c r="D144" s="33"/>
      <c r="E144" s="33"/>
      <c r="F144" s="33"/>
      <c r="G144" s="33"/>
      <c r="H144" s="48"/>
      <c r="J144" s="47"/>
      <c r="K144" s="33"/>
      <c r="L144" s="33"/>
      <c r="M144" s="33"/>
      <c r="N144" s="33"/>
      <c r="O144" s="33"/>
      <c r="P144" s="48"/>
    </row>
    <row r="145" customFormat="false" ht="15.75" hidden="false" customHeight="false" outlineLevel="0" collapsed="false">
      <c r="B145" s="47"/>
      <c r="C145" s="33"/>
      <c r="D145" s="33"/>
      <c r="E145" s="33"/>
      <c r="F145" s="33"/>
      <c r="G145" s="33"/>
      <c r="H145" s="48"/>
      <c r="J145" s="47"/>
      <c r="K145" s="33"/>
      <c r="L145" s="33"/>
      <c r="M145" s="33"/>
      <c r="N145" s="33"/>
      <c r="O145" s="33"/>
      <c r="P145" s="48"/>
    </row>
    <row r="146" customFormat="false" ht="16.5" hidden="false" customHeight="true" outlineLevel="0" collapsed="false">
      <c r="B146" s="52"/>
      <c r="C146" s="53"/>
      <c r="D146" s="53"/>
      <c r="E146" s="53"/>
      <c r="F146" s="53"/>
      <c r="G146" s="53"/>
      <c r="H146" s="63"/>
      <c r="J146" s="52"/>
      <c r="K146" s="53"/>
      <c r="L146" s="53"/>
      <c r="M146" s="53"/>
      <c r="N146" s="53"/>
      <c r="O146" s="53"/>
      <c r="P146" s="63"/>
    </row>
    <row r="147" customFormat="false" ht="16.5" hidden="false" customHeight="true" outlineLevel="0" collapsed="false">
      <c r="F147" s="59" t="n">
        <f aca="false">SUM(F141:F146)</f>
        <v>0</v>
      </c>
      <c r="G147" s="60" t="n">
        <f aca="false">SUM(G141:G146)</f>
        <v>600</v>
      </c>
      <c r="H147" s="61" t="n">
        <f aca="false">SUM(H141:H146)</f>
        <v>600</v>
      </c>
      <c r="N147" s="59" t="n">
        <f aca="false">SUM(N141:N146)</f>
        <v>0</v>
      </c>
      <c r="O147" s="60" t="n">
        <f aca="false">SUM(O141:O146)</f>
        <v>218.75</v>
      </c>
      <c r="P147" s="61" t="n">
        <f aca="false">SUM(P141:P146)</f>
        <v>218.75</v>
      </c>
    </row>
    <row r="150" customFormat="false" ht="16.5" hidden="false" customHeight="true" outlineLevel="0" collapsed="false"/>
    <row r="151" customFormat="false" ht="15.75" hidden="false" customHeight="false" outlineLevel="0" collapsed="false">
      <c r="B151" s="42" t="s">
        <v>144</v>
      </c>
      <c r="C151" s="42"/>
      <c r="D151" s="42"/>
      <c r="E151" s="42"/>
      <c r="F151" s="42"/>
      <c r="G151" s="42"/>
      <c r="H151" s="42"/>
      <c r="J151" s="42" t="s">
        <v>144</v>
      </c>
      <c r="K151" s="42"/>
      <c r="L151" s="42"/>
      <c r="M151" s="42"/>
      <c r="N151" s="42"/>
      <c r="O151" s="42"/>
      <c r="P151" s="42"/>
    </row>
    <row r="152" customFormat="false" ht="15.75" hidden="false" customHeight="false" outlineLevel="0" collapsed="false">
      <c r="B152" s="43" t="s">
        <v>145</v>
      </c>
      <c r="C152" s="43"/>
      <c r="D152" s="43"/>
      <c r="E152" s="43"/>
      <c r="F152" s="43"/>
      <c r="G152" s="43"/>
      <c r="H152" s="43"/>
      <c r="J152" s="43" t="s">
        <v>145</v>
      </c>
      <c r="K152" s="43"/>
      <c r="L152" s="43"/>
      <c r="M152" s="43"/>
      <c r="N152" s="43"/>
      <c r="O152" s="43"/>
      <c r="P152" s="43"/>
    </row>
    <row r="153" customFormat="false" ht="15.75" hidden="false" customHeight="false" outlineLevel="0" collapsed="false">
      <c r="B153" s="44" t="s">
        <v>146</v>
      </c>
      <c r="C153" s="45" t="str">
        <f aca="false">'LIBRO DIARIO'!C68</f>
        <v>COSTOS INDIRECTOS FÁBRICA</v>
      </c>
      <c r="D153" s="45"/>
      <c r="E153" s="45"/>
      <c r="F153" s="45"/>
      <c r="G153" s="45" t="s">
        <v>147</v>
      </c>
      <c r="H153" s="46" t="n">
        <v>23</v>
      </c>
      <c r="J153" s="44" t="s">
        <v>146</v>
      </c>
      <c r="K153" s="45" t="str">
        <f aca="false">'LIBRO DIARIO'!C81</f>
        <v>PRODUCTO TERMINADO OP#100 TS</v>
      </c>
      <c r="L153" s="45"/>
      <c r="M153" s="45"/>
      <c r="N153" s="45"/>
      <c r="O153" s="45" t="s">
        <v>147</v>
      </c>
      <c r="P153" s="46" t="n">
        <v>24</v>
      </c>
    </row>
    <row r="154" customFormat="false" ht="15.75" hidden="false" customHeight="false" outlineLevel="0" collapsed="false">
      <c r="B154" s="47" t="s">
        <v>44</v>
      </c>
      <c r="C154" s="33" t="s">
        <v>45</v>
      </c>
      <c r="D154" s="33" t="s">
        <v>148</v>
      </c>
      <c r="E154" s="33" t="s">
        <v>149</v>
      </c>
      <c r="F154" s="33" t="s">
        <v>150</v>
      </c>
      <c r="G154" s="33" t="s">
        <v>49</v>
      </c>
      <c r="H154" s="48" t="s">
        <v>151</v>
      </c>
      <c r="J154" s="47" t="s">
        <v>44</v>
      </c>
      <c r="K154" s="33" t="s">
        <v>45</v>
      </c>
      <c r="L154" s="33" t="s">
        <v>148</v>
      </c>
      <c r="M154" s="33" t="s">
        <v>149</v>
      </c>
      <c r="N154" s="33" t="s">
        <v>150</v>
      </c>
      <c r="O154" s="33" t="s">
        <v>49</v>
      </c>
      <c r="P154" s="48" t="s">
        <v>151</v>
      </c>
    </row>
    <row r="155" customFormat="false" ht="15.75" hidden="false" customHeight="false" outlineLevel="0" collapsed="false">
      <c r="B155" s="49" t="n">
        <f aca="false">'LIBRO DIARIO'!B67</f>
        <v>46036</v>
      </c>
      <c r="C155" s="33" t="s">
        <v>152</v>
      </c>
      <c r="D155" s="33" t="n">
        <v>1</v>
      </c>
      <c r="E155" s="33" t="n">
        <v>9</v>
      </c>
      <c r="F155" s="50" t="n">
        <f aca="false">'LIBRO DIARIO'!F68</f>
        <v>818.75</v>
      </c>
      <c r="G155" s="50"/>
      <c r="H155" s="51" t="n">
        <f aca="false">F155-G155</f>
        <v>818.75</v>
      </c>
      <c r="J155" s="49" t="n">
        <f aca="false">'LIBRO DIARIO'!B80</f>
        <v>46036</v>
      </c>
      <c r="K155" s="33" t="s">
        <v>152</v>
      </c>
      <c r="L155" s="33" t="n">
        <v>1</v>
      </c>
      <c r="M155" s="33" t="n">
        <v>11</v>
      </c>
      <c r="N155" s="50" t="n">
        <f aca="false">'LIBRO DIARIO'!F81</f>
        <v>21498.6950487691</v>
      </c>
      <c r="O155" s="50" t="n">
        <f aca="false">'LIBRO DIARIO'!G79</f>
        <v>0</v>
      </c>
      <c r="P155" s="51" t="n">
        <f aca="false">N155-O155</f>
        <v>21498.6950487691</v>
      </c>
    </row>
    <row r="156" customFormat="false" ht="15.75" hidden="false" customHeight="false" outlineLevel="0" collapsed="false">
      <c r="B156" s="49" t="n">
        <f aca="false">'LIBRO DIARIO'!B74</f>
        <v>46036</v>
      </c>
      <c r="C156" s="33" t="s">
        <v>161</v>
      </c>
      <c r="D156" s="33" t="n">
        <v>1</v>
      </c>
      <c r="E156" s="33" t="n">
        <v>10</v>
      </c>
      <c r="F156" s="33"/>
      <c r="G156" s="62" t="n">
        <f aca="false">'LIBRO DIARIO'!G78</f>
        <v>818.75</v>
      </c>
      <c r="H156" s="74" t="n">
        <f aca="false">(H155+F156)-G156</f>
        <v>0</v>
      </c>
      <c r="J156" s="49" t="n">
        <f aca="false">'LIBRO DIARIO'!B92</f>
        <v>46036</v>
      </c>
      <c r="K156" s="33" t="s">
        <v>175</v>
      </c>
      <c r="L156" s="33" t="n">
        <v>1</v>
      </c>
      <c r="M156" s="33" t="s">
        <v>176</v>
      </c>
      <c r="N156" s="33"/>
      <c r="O156" s="62" t="n">
        <f aca="false">'LIBRO DIARIO'!G94</f>
        <v>21498.6950487691</v>
      </c>
      <c r="P156" s="74" t="n">
        <f aca="false">P155+N156-O156</f>
        <v>0</v>
      </c>
    </row>
    <row r="157" customFormat="false" ht="15.75" hidden="false" customHeight="false" outlineLevel="0" collapsed="false">
      <c r="B157" s="47"/>
      <c r="C157" s="33"/>
      <c r="D157" s="33"/>
      <c r="E157" s="33"/>
      <c r="F157" s="33"/>
      <c r="G157" s="33"/>
      <c r="H157" s="48"/>
      <c r="J157" s="47"/>
      <c r="K157" s="33"/>
      <c r="L157" s="33"/>
      <c r="M157" s="33"/>
      <c r="N157" s="33"/>
      <c r="O157" s="33"/>
      <c r="P157" s="48"/>
    </row>
    <row r="158" customFormat="false" ht="15.75" hidden="false" customHeight="false" outlineLevel="0" collapsed="false">
      <c r="B158" s="47"/>
      <c r="C158" s="33"/>
      <c r="D158" s="33"/>
      <c r="E158" s="33"/>
      <c r="F158" s="33"/>
      <c r="G158" s="33"/>
      <c r="H158" s="48"/>
      <c r="J158" s="47"/>
      <c r="K158" s="33"/>
      <c r="L158" s="33"/>
      <c r="M158" s="33"/>
      <c r="N158" s="33"/>
      <c r="O158" s="33"/>
      <c r="P158" s="48"/>
    </row>
    <row r="159" customFormat="false" ht="15.75" hidden="false" customHeight="false" outlineLevel="0" collapsed="false">
      <c r="B159" s="47"/>
      <c r="C159" s="33"/>
      <c r="D159" s="33"/>
      <c r="E159" s="33"/>
      <c r="F159" s="33"/>
      <c r="G159" s="33"/>
      <c r="H159" s="48"/>
      <c r="J159" s="47"/>
      <c r="K159" s="33"/>
      <c r="L159" s="33"/>
      <c r="M159" s="33"/>
      <c r="N159" s="33"/>
      <c r="O159" s="33"/>
      <c r="P159" s="48"/>
    </row>
    <row r="160" customFormat="false" ht="16.5" hidden="false" customHeight="true" outlineLevel="0" collapsed="false">
      <c r="B160" s="52"/>
      <c r="C160" s="53"/>
      <c r="D160" s="53"/>
      <c r="E160" s="53"/>
      <c r="F160" s="53"/>
      <c r="G160" s="53"/>
      <c r="H160" s="63"/>
      <c r="J160" s="52"/>
      <c r="K160" s="53"/>
      <c r="L160" s="53"/>
      <c r="M160" s="53"/>
      <c r="N160" s="53"/>
      <c r="O160" s="53"/>
      <c r="P160" s="63"/>
    </row>
    <row r="161" customFormat="false" ht="16.5" hidden="false" customHeight="true" outlineLevel="0" collapsed="false">
      <c r="F161" s="59" t="n">
        <f aca="false">SUM(F155:F160)</f>
        <v>818.75</v>
      </c>
      <c r="G161" s="60" t="n">
        <f aca="false">SUM(G155:G160)</f>
        <v>818.75</v>
      </c>
      <c r="H161" s="61" t="n">
        <f aca="false">SUM(H155:H160)</f>
        <v>818.75</v>
      </c>
      <c r="N161" s="59" t="n">
        <f aca="false">SUM(N155:N160)</f>
        <v>21498.6950487691</v>
      </c>
      <c r="O161" s="60" t="n">
        <f aca="false">SUM(O155:O160)</f>
        <v>21498.6950487691</v>
      </c>
      <c r="P161" s="61" t="n">
        <f aca="false">SUM(P155:P160)</f>
        <v>21498.6950487691</v>
      </c>
    </row>
    <row r="163" customFormat="false" ht="16.5" hidden="false" customHeight="true" outlineLevel="0" collapsed="false"/>
    <row r="164" customFormat="false" ht="15.75" hidden="false" customHeight="false" outlineLevel="0" collapsed="false">
      <c r="B164" s="42" t="s">
        <v>144</v>
      </c>
      <c r="C164" s="42"/>
      <c r="D164" s="42"/>
      <c r="E164" s="42"/>
      <c r="F164" s="42"/>
      <c r="G164" s="42"/>
      <c r="H164" s="42"/>
      <c r="J164" s="42" t="s">
        <v>144</v>
      </c>
      <c r="K164" s="42"/>
      <c r="L164" s="42"/>
      <c r="M164" s="42"/>
      <c r="N164" s="42"/>
      <c r="O164" s="42"/>
      <c r="P164" s="42"/>
    </row>
    <row r="165" customFormat="false" ht="15.75" hidden="false" customHeight="false" outlineLevel="0" collapsed="false">
      <c r="B165" s="43" t="s">
        <v>145</v>
      </c>
      <c r="C165" s="43"/>
      <c r="D165" s="43"/>
      <c r="E165" s="43"/>
      <c r="F165" s="43"/>
      <c r="G165" s="43"/>
      <c r="H165" s="43"/>
      <c r="J165" s="43" t="s">
        <v>145</v>
      </c>
      <c r="K165" s="43"/>
      <c r="L165" s="43"/>
      <c r="M165" s="43"/>
      <c r="N165" s="43"/>
      <c r="O165" s="43"/>
      <c r="P165" s="43"/>
    </row>
    <row r="166" customFormat="false" ht="15.75" hidden="false" customHeight="false" outlineLevel="0" collapsed="false">
      <c r="B166" s="44" t="s">
        <v>146</v>
      </c>
      <c r="C166" s="45" t="str">
        <f aca="false">'LIBRO DIARIO'!C82</f>
        <v>PRODUCTO TERMINADO OP#100 TM</v>
      </c>
      <c r="D166" s="45"/>
      <c r="E166" s="45"/>
      <c r="F166" s="45"/>
      <c r="G166" s="45" t="s">
        <v>147</v>
      </c>
      <c r="H166" s="46" t="n">
        <v>25</v>
      </c>
      <c r="J166" s="44" t="s">
        <v>146</v>
      </c>
      <c r="K166" s="45" t="str">
        <f aca="false">'LIBRO DIARIO'!C83</f>
        <v>PRODUCTO TERMINADO OP#100 TL</v>
      </c>
      <c r="L166" s="45"/>
      <c r="M166" s="45"/>
      <c r="N166" s="45"/>
      <c r="O166" s="45" t="s">
        <v>147</v>
      </c>
      <c r="P166" s="46" t="n">
        <v>26</v>
      </c>
    </row>
    <row r="167" customFormat="false" ht="15.75" hidden="false" customHeight="false" outlineLevel="0" collapsed="false">
      <c r="B167" s="47" t="s">
        <v>44</v>
      </c>
      <c r="C167" s="33" t="s">
        <v>45</v>
      </c>
      <c r="D167" s="33" t="s">
        <v>148</v>
      </c>
      <c r="E167" s="33" t="s">
        <v>149</v>
      </c>
      <c r="F167" s="33" t="s">
        <v>150</v>
      </c>
      <c r="G167" s="33" t="s">
        <v>49</v>
      </c>
      <c r="H167" s="48" t="s">
        <v>151</v>
      </c>
      <c r="J167" s="47" t="s">
        <v>44</v>
      </c>
      <c r="K167" s="33" t="s">
        <v>45</v>
      </c>
      <c r="L167" s="33" t="s">
        <v>148</v>
      </c>
      <c r="M167" s="33" t="s">
        <v>149</v>
      </c>
      <c r="N167" s="33" t="s">
        <v>150</v>
      </c>
      <c r="O167" s="33" t="s">
        <v>49</v>
      </c>
      <c r="P167" s="48" t="s">
        <v>151</v>
      </c>
    </row>
    <row r="168" customFormat="false" ht="15.75" hidden="false" customHeight="false" outlineLevel="0" collapsed="false">
      <c r="B168" s="49" t="n">
        <f aca="false">'LIBRO DIARIO'!B80</f>
        <v>46036</v>
      </c>
      <c r="C168" s="33" t="s">
        <v>152</v>
      </c>
      <c r="D168" s="33" t="n">
        <v>1</v>
      </c>
      <c r="E168" s="33" t="n">
        <v>11</v>
      </c>
      <c r="F168" s="50" t="n">
        <f aca="false">'LIBRO DIARIO'!F82</f>
        <v>35215.8090290204</v>
      </c>
      <c r="G168" s="50"/>
      <c r="H168" s="51" t="n">
        <f aca="false">F168-G168</f>
        <v>35215.8090290204</v>
      </c>
      <c r="J168" s="49" t="n">
        <f aca="false">'LIBRO DIARIO'!B80</f>
        <v>46036</v>
      </c>
      <c r="K168" s="33" t="s">
        <v>152</v>
      </c>
      <c r="L168" s="33" t="n">
        <v>1</v>
      </c>
      <c r="M168" s="33" t="n">
        <v>11</v>
      </c>
      <c r="N168" s="50" t="n">
        <f aca="false">'LIBRO DIARIO'!F83</f>
        <v>34040.5017570865</v>
      </c>
      <c r="O168" s="50" t="n">
        <f aca="false">'LIBRO DIARIO'!G92</f>
        <v>0</v>
      </c>
      <c r="P168" s="51" t="n">
        <f aca="false">N168-O168</f>
        <v>34040.5017570865</v>
      </c>
    </row>
    <row r="169" customFormat="false" ht="15.75" hidden="false" customHeight="false" outlineLevel="0" collapsed="false">
      <c r="B169" s="49" t="n">
        <f aca="false">'LIBRO DIARIO'!B92</f>
        <v>46036</v>
      </c>
      <c r="C169" s="33" t="s">
        <v>175</v>
      </c>
      <c r="D169" s="33" t="n">
        <v>1</v>
      </c>
      <c r="E169" s="33" t="s">
        <v>176</v>
      </c>
      <c r="F169" s="33"/>
      <c r="G169" s="62" t="n">
        <f aca="false">'LIBRO DIARIO'!G95</f>
        <v>35215.8090290204</v>
      </c>
      <c r="H169" s="74" t="n">
        <f aca="false">H168+F169-G169</f>
        <v>0</v>
      </c>
      <c r="J169" s="49" t="n">
        <f aca="false">'LIBRO DIARIO'!B92</f>
        <v>46036</v>
      </c>
      <c r="K169" s="33" t="s">
        <v>175</v>
      </c>
      <c r="L169" s="33" t="n">
        <v>1</v>
      </c>
      <c r="M169" s="33" t="s">
        <v>176</v>
      </c>
      <c r="N169" s="33"/>
      <c r="O169" s="62" t="n">
        <f aca="false">'LIBRO DIARIO'!G96</f>
        <v>34040.5017570865</v>
      </c>
      <c r="P169" s="74" t="n">
        <f aca="false">P168+N169-O169</f>
        <v>0</v>
      </c>
    </row>
    <row r="170" customFormat="false" ht="15.75" hidden="false" customHeight="false" outlineLevel="0" collapsed="false">
      <c r="B170" s="47"/>
      <c r="C170" s="33"/>
      <c r="D170" s="33"/>
      <c r="E170" s="33"/>
      <c r="F170" s="33"/>
      <c r="G170" s="33"/>
      <c r="H170" s="48"/>
      <c r="J170" s="47"/>
      <c r="K170" s="33"/>
      <c r="L170" s="33"/>
      <c r="M170" s="33"/>
      <c r="N170" s="33"/>
      <c r="O170" s="33"/>
      <c r="P170" s="48"/>
    </row>
    <row r="171" customFormat="false" ht="15.75" hidden="false" customHeight="false" outlineLevel="0" collapsed="false">
      <c r="B171" s="47"/>
      <c r="C171" s="33"/>
      <c r="D171" s="33"/>
      <c r="E171" s="33"/>
      <c r="F171" s="33"/>
      <c r="G171" s="33"/>
      <c r="H171" s="48"/>
      <c r="J171" s="47"/>
      <c r="K171" s="33"/>
      <c r="L171" s="33"/>
      <c r="M171" s="33"/>
      <c r="N171" s="33"/>
      <c r="O171" s="33"/>
      <c r="P171" s="48"/>
    </row>
    <row r="172" customFormat="false" ht="15.75" hidden="false" customHeight="false" outlineLevel="0" collapsed="false">
      <c r="B172" s="47"/>
      <c r="C172" s="33"/>
      <c r="D172" s="33"/>
      <c r="E172" s="33"/>
      <c r="F172" s="33"/>
      <c r="G172" s="33"/>
      <c r="H172" s="48"/>
      <c r="J172" s="47"/>
      <c r="K172" s="33"/>
      <c r="L172" s="33"/>
      <c r="M172" s="33"/>
      <c r="N172" s="33"/>
      <c r="O172" s="33"/>
      <c r="P172" s="48"/>
    </row>
    <row r="173" customFormat="false" ht="16.5" hidden="false" customHeight="true" outlineLevel="0" collapsed="false">
      <c r="B173" s="52"/>
      <c r="C173" s="53"/>
      <c r="D173" s="53"/>
      <c r="E173" s="53"/>
      <c r="F173" s="53"/>
      <c r="G173" s="53"/>
      <c r="H173" s="63"/>
      <c r="J173" s="52"/>
      <c r="K173" s="53"/>
      <c r="L173" s="53"/>
      <c r="M173" s="53"/>
      <c r="N173" s="53"/>
      <c r="O173" s="53"/>
      <c r="P173" s="63"/>
    </row>
    <row r="174" customFormat="false" ht="16.5" hidden="false" customHeight="true" outlineLevel="0" collapsed="false">
      <c r="F174" s="59" t="n">
        <f aca="false">SUM(F168:F173)</f>
        <v>35215.8090290204</v>
      </c>
      <c r="G174" s="60" t="n">
        <f aca="false">SUM(G168:G173)</f>
        <v>35215.8090290204</v>
      </c>
      <c r="H174" s="61" t="n">
        <f aca="false">SUM(H168:H173)</f>
        <v>35215.8090290204</v>
      </c>
      <c r="N174" s="59" t="n">
        <f aca="false">SUM(N168:N173)</f>
        <v>34040.5017570865</v>
      </c>
      <c r="O174" s="60" t="n">
        <f aca="false">SUM(O168:O173)</f>
        <v>34040.5017570865</v>
      </c>
      <c r="P174" s="61" t="n">
        <f aca="false">SUM(P168:P173)</f>
        <v>34040.5017570865</v>
      </c>
    </row>
    <row r="176" customFormat="false" ht="16.5" hidden="false" customHeight="true" outlineLevel="0" collapsed="false"/>
    <row r="177" customFormat="false" ht="15.75" hidden="false" customHeight="false" outlineLevel="0" collapsed="false">
      <c r="B177" s="42" t="s">
        <v>144</v>
      </c>
      <c r="C177" s="42"/>
      <c r="D177" s="42"/>
      <c r="E177" s="42"/>
      <c r="F177" s="42"/>
      <c r="G177" s="42"/>
      <c r="H177" s="42"/>
      <c r="J177" s="42" t="s">
        <v>144</v>
      </c>
      <c r="K177" s="42"/>
      <c r="L177" s="42"/>
      <c r="M177" s="42"/>
      <c r="N177" s="42"/>
      <c r="O177" s="42"/>
      <c r="P177" s="42"/>
    </row>
    <row r="178" customFormat="false" ht="15.75" hidden="false" customHeight="false" outlineLevel="0" collapsed="false">
      <c r="B178" s="43" t="s">
        <v>145</v>
      </c>
      <c r="C178" s="43"/>
      <c r="D178" s="43"/>
      <c r="E178" s="43"/>
      <c r="F178" s="43"/>
      <c r="G178" s="43"/>
      <c r="H178" s="43"/>
      <c r="J178" s="43" t="s">
        <v>145</v>
      </c>
      <c r="K178" s="43"/>
      <c r="L178" s="43"/>
      <c r="M178" s="43"/>
      <c r="N178" s="43"/>
      <c r="O178" s="43"/>
      <c r="P178" s="43"/>
    </row>
    <row r="179" customFormat="false" ht="15.75" hidden="false" customHeight="false" outlineLevel="0" collapsed="false">
      <c r="B179" s="44" t="s">
        <v>146</v>
      </c>
      <c r="C179" s="45" t="str">
        <f aca="false">'LIBRO DIARIO'!C89</f>
        <v>CAJA </v>
      </c>
      <c r="D179" s="45"/>
      <c r="E179" s="45"/>
      <c r="F179" s="45"/>
      <c r="G179" s="45" t="s">
        <v>147</v>
      </c>
      <c r="H179" s="46" t="n">
        <v>27</v>
      </c>
      <c r="J179" s="44" t="s">
        <v>146</v>
      </c>
      <c r="K179" s="45" t="str">
        <f aca="false">'LIBRO DIARIO'!C90</f>
        <v>          VENTAS</v>
      </c>
      <c r="L179" s="45"/>
      <c r="M179" s="45"/>
      <c r="N179" s="45"/>
      <c r="O179" s="45" t="s">
        <v>147</v>
      </c>
      <c r="P179" s="46" t="n">
        <v>28</v>
      </c>
    </row>
    <row r="180" customFormat="false" ht="15.75" hidden="false" customHeight="false" outlineLevel="0" collapsed="false">
      <c r="B180" s="47" t="s">
        <v>44</v>
      </c>
      <c r="C180" s="33" t="s">
        <v>45</v>
      </c>
      <c r="D180" s="33" t="s">
        <v>148</v>
      </c>
      <c r="E180" s="33" t="s">
        <v>149</v>
      </c>
      <c r="F180" s="33" t="s">
        <v>150</v>
      </c>
      <c r="G180" s="33" t="s">
        <v>49</v>
      </c>
      <c r="H180" s="48" t="s">
        <v>151</v>
      </c>
      <c r="J180" s="47" t="s">
        <v>44</v>
      </c>
      <c r="K180" s="33" t="s">
        <v>45</v>
      </c>
      <c r="L180" s="33" t="s">
        <v>148</v>
      </c>
      <c r="M180" s="33" t="s">
        <v>149</v>
      </c>
      <c r="N180" s="33" t="s">
        <v>150</v>
      </c>
      <c r="O180" s="33" t="s">
        <v>49</v>
      </c>
      <c r="P180" s="48" t="s">
        <v>151</v>
      </c>
    </row>
    <row r="181" customFormat="false" ht="15.75" hidden="false" customHeight="false" outlineLevel="0" collapsed="false">
      <c r="B181" s="49" t="n">
        <f aca="false">'LIBRO DIARIO'!B88</f>
        <v>46036</v>
      </c>
      <c r="C181" s="33" t="s">
        <v>156</v>
      </c>
      <c r="D181" s="33" t="n">
        <v>1</v>
      </c>
      <c r="E181" s="33" t="n">
        <v>12</v>
      </c>
      <c r="F181" s="50" t="n">
        <f aca="false">'LIBRO DIARIO'!F89</f>
        <v>163359.010502777</v>
      </c>
      <c r="G181" s="50"/>
      <c r="H181" s="51" t="n">
        <f aca="false">F181-G181</f>
        <v>163359.010502777</v>
      </c>
      <c r="J181" s="49" t="n">
        <f aca="false">'LIBRO DIARIO'!B88</f>
        <v>46036</v>
      </c>
      <c r="K181" s="33" t="s">
        <v>177</v>
      </c>
      <c r="L181" s="33" t="n">
        <v>1</v>
      </c>
      <c r="M181" s="33" t="n">
        <v>12</v>
      </c>
      <c r="N181" s="50" t="n">
        <f aca="false">'LIBRO DIARIO'!F96</f>
        <v>0</v>
      </c>
      <c r="O181" s="50" t="n">
        <f aca="false">'LIBRO DIARIO'!G90</f>
        <v>163359.010502777</v>
      </c>
      <c r="P181" s="51" t="n">
        <f aca="false">O181-N181</f>
        <v>163359.010502777</v>
      </c>
    </row>
    <row r="182" customFormat="false" ht="15.75" hidden="false" customHeight="false" outlineLevel="0" collapsed="false">
      <c r="B182" s="47"/>
      <c r="C182" s="33"/>
      <c r="D182" s="33"/>
      <c r="E182" s="33"/>
      <c r="F182" s="33"/>
      <c r="G182" s="33"/>
      <c r="H182" s="48"/>
      <c r="J182" s="47"/>
      <c r="K182" s="33"/>
      <c r="L182" s="33"/>
      <c r="M182" s="33"/>
      <c r="N182" s="33"/>
      <c r="O182" s="33"/>
      <c r="P182" s="48"/>
    </row>
    <row r="183" customFormat="false" ht="15.75" hidden="false" customHeight="false" outlineLevel="0" collapsed="false">
      <c r="B183" s="47"/>
      <c r="C183" s="33"/>
      <c r="D183" s="33"/>
      <c r="E183" s="33"/>
      <c r="F183" s="33"/>
      <c r="G183" s="33"/>
      <c r="H183" s="48"/>
      <c r="J183" s="47"/>
      <c r="K183" s="33"/>
      <c r="L183" s="33"/>
      <c r="M183" s="33"/>
      <c r="N183" s="33"/>
      <c r="O183" s="33"/>
      <c r="P183" s="48"/>
    </row>
    <row r="184" customFormat="false" ht="15.75" hidden="false" customHeight="false" outlineLevel="0" collapsed="false">
      <c r="B184" s="47"/>
      <c r="C184" s="33"/>
      <c r="D184" s="33"/>
      <c r="E184" s="33"/>
      <c r="F184" s="33"/>
      <c r="G184" s="33"/>
      <c r="H184" s="48"/>
      <c r="J184" s="47"/>
      <c r="K184" s="33"/>
      <c r="L184" s="33"/>
      <c r="M184" s="33"/>
      <c r="N184" s="33"/>
      <c r="O184" s="33"/>
      <c r="P184" s="48"/>
    </row>
    <row r="185" customFormat="false" ht="15.75" hidden="false" customHeight="false" outlineLevel="0" collapsed="false">
      <c r="B185" s="47"/>
      <c r="C185" s="33"/>
      <c r="D185" s="33"/>
      <c r="E185" s="33"/>
      <c r="F185" s="33"/>
      <c r="G185" s="33"/>
      <c r="H185" s="48"/>
      <c r="J185" s="47"/>
      <c r="K185" s="33"/>
      <c r="L185" s="33"/>
      <c r="M185" s="33"/>
      <c r="N185" s="33"/>
      <c r="O185" s="33"/>
      <c r="P185" s="48"/>
    </row>
    <row r="186" customFormat="false" ht="16.5" hidden="false" customHeight="true" outlineLevel="0" collapsed="false">
      <c r="B186" s="52"/>
      <c r="C186" s="53"/>
      <c r="D186" s="53"/>
      <c r="E186" s="53"/>
      <c r="F186" s="53"/>
      <c r="G186" s="53"/>
      <c r="H186" s="63"/>
      <c r="J186" s="52"/>
      <c r="K186" s="53"/>
      <c r="L186" s="53"/>
      <c r="M186" s="53"/>
      <c r="N186" s="53"/>
      <c r="O186" s="53"/>
      <c r="P186" s="63"/>
    </row>
    <row r="187" customFormat="false" ht="16.5" hidden="false" customHeight="true" outlineLevel="0" collapsed="false">
      <c r="F187" s="59" t="n">
        <f aca="false">SUM(F181:F186)</f>
        <v>163359.010502777</v>
      </c>
      <c r="G187" s="60" t="n">
        <f aca="false">SUM(G181:G186)</f>
        <v>0</v>
      </c>
      <c r="H187" s="61" t="n">
        <f aca="false">SUM(H181:H186)</f>
        <v>163359.010502777</v>
      </c>
      <c r="N187" s="59" t="n">
        <f aca="false">SUM(N181:N186)</f>
        <v>0</v>
      </c>
      <c r="O187" s="60" t="n">
        <f aca="false">SUM(O181:O186)</f>
        <v>163359.010502777</v>
      </c>
      <c r="P187" s="61" t="n">
        <f aca="false">SUM(P181:P186)</f>
        <v>163359.010502777</v>
      </c>
    </row>
    <row r="189" customFormat="false" ht="16.5" hidden="false" customHeight="true" outlineLevel="0" collapsed="false"/>
    <row r="190" customFormat="false" ht="15.75" hidden="false" customHeight="false" outlineLevel="0" collapsed="false">
      <c r="B190" s="42" t="s">
        <v>144</v>
      </c>
      <c r="C190" s="42"/>
      <c r="D190" s="42"/>
      <c r="E190" s="42"/>
      <c r="F190" s="42"/>
      <c r="G190" s="42"/>
      <c r="H190" s="42"/>
      <c r="J190" s="42" t="s">
        <v>144</v>
      </c>
      <c r="K190" s="42"/>
      <c r="L190" s="42"/>
      <c r="M190" s="42"/>
      <c r="N190" s="42"/>
      <c r="O190" s="42"/>
      <c r="P190" s="42"/>
    </row>
    <row r="191" customFormat="false" ht="15.75" hidden="false" customHeight="false" outlineLevel="0" collapsed="false">
      <c r="B191" s="43" t="s">
        <v>145</v>
      </c>
      <c r="C191" s="43"/>
      <c r="D191" s="43"/>
      <c r="E191" s="43"/>
      <c r="F191" s="43"/>
      <c r="G191" s="43"/>
      <c r="H191" s="43"/>
      <c r="J191" s="43" t="s">
        <v>145</v>
      </c>
      <c r="K191" s="43"/>
      <c r="L191" s="43"/>
      <c r="M191" s="43"/>
      <c r="N191" s="43"/>
      <c r="O191" s="43"/>
      <c r="P191" s="43"/>
    </row>
    <row r="192" customFormat="false" ht="15.75" hidden="false" customHeight="false" outlineLevel="0" collapsed="false">
      <c r="B192" s="44" t="s">
        <v>146</v>
      </c>
      <c r="C192" s="45" t="str">
        <f aca="false">'LIBRO DIARIO'!C93</f>
        <v>COSTO DE PRODUCCIÓN Y VENTA</v>
      </c>
      <c r="D192" s="45"/>
      <c r="E192" s="45"/>
      <c r="F192" s="45"/>
      <c r="G192" s="45" t="s">
        <v>147</v>
      </c>
      <c r="H192" s="46" t="n">
        <v>29</v>
      </c>
      <c r="J192" s="44" t="s">
        <v>146</v>
      </c>
      <c r="K192" s="45" t="str">
        <f aca="false">'LIBRO DIARIO'!C103</f>
        <v> --------------------------- 14 ---------------------------</v>
      </c>
      <c r="L192" s="45"/>
      <c r="M192" s="45"/>
      <c r="N192" s="45"/>
      <c r="O192" s="45" t="s">
        <v>147</v>
      </c>
      <c r="P192" s="46" t="n">
        <v>28</v>
      </c>
    </row>
    <row r="193" customFormat="false" ht="15.75" hidden="false" customHeight="false" outlineLevel="0" collapsed="false">
      <c r="B193" s="47" t="s">
        <v>44</v>
      </c>
      <c r="C193" s="33" t="s">
        <v>45</v>
      </c>
      <c r="D193" s="33" t="s">
        <v>148</v>
      </c>
      <c r="E193" s="33" t="s">
        <v>149</v>
      </c>
      <c r="F193" s="33" t="s">
        <v>150</v>
      </c>
      <c r="G193" s="33" t="s">
        <v>49</v>
      </c>
      <c r="H193" s="48" t="s">
        <v>151</v>
      </c>
      <c r="J193" s="47" t="s">
        <v>44</v>
      </c>
      <c r="K193" s="33" t="s">
        <v>45</v>
      </c>
      <c r="L193" s="33" t="s">
        <v>148</v>
      </c>
      <c r="M193" s="33" t="s">
        <v>149</v>
      </c>
      <c r="N193" s="33" t="s">
        <v>150</v>
      </c>
      <c r="O193" s="33" t="s">
        <v>49</v>
      </c>
      <c r="P193" s="48" t="s">
        <v>151</v>
      </c>
    </row>
    <row r="194" customFormat="false" ht="15.75" hidden="false" customHeight="false" outlineLevel="0" collapsed="false">
      <c r="B194" s="49" t="n">
        <f aca="false">'LIBRO DIARIO'!B92</f>
        <v>46036</v>
      </c>
      <c r="C194" s="33" t="s">
        <v>152</v>
      </c>
      <c r="D194" s="33" t="n">
        <v>1</v>
      </c>
      <c r="E194" s="33" t="s">
        <v>176</v>
      </c>
      <c r="F194" s="50" t="n">
        <f aca="false">'LIBRO DIARIO'!F93</f>
        <v>90755.005834876</v>
      </c>
      <c r="G194" s="50"/>
      <c r="H194" s="51" t="n">
        <f aca="false">F194-G194</f>
        <v>90755.005834876</v>
      </c>
      <c r="J194" s="49" t="n">
        <f aca="false">'LIBRO DIARIO'!B101</f>
        <v>0</v>
      </c>
      <c r="K194" s="33" t="s">
        <v>177</v>
      </c>
      <c r="L194" s="33" t="n">
        <v>1</v>
      </c>
      <c r="M194" s="33" t="n">
        <v>12</v>
      </c>
      <c r="N194" s="50" t="n">
        <f aca="false">'LIBRO DIARIO'!F109</f>
        <v>0</v>
      </c>
      <c r="O194" s="50" t="n">
        <f aca="false">'LIBRO DIARIO'!G103</f>
        <v>0</v>
      </c>
      <c r="P194" s="51" t="n">
        <f aca="false">O194-N194</f>
        <v>0</v>
      </c>
    </row>
    <row r="195" customFormat="false" ht="15.75" hidden="false" customHeight="false" outlineLevel="0" collapsed="false">
      <c r="B195" s="47"/>
      <c r="C195" s="33"/>
      <c r="D195" s="33"/>
      <c r="E195" s="33"/>
      <c r="F195" s="33"/>
      <c r="G195" s="33"/>
      <c r="H195" s="48"/>
      <c r="J195" s="47"/>
      <c r="K195" s="33"/>
      <c r="L195" s="33"/>
      <c r="M195" s="33"/>
      <c r="N195" s="33"/>
      <c r="O195" s="33"/>
      <c r="P195" s="48"/>
    </row>
    <row r="196" customFormat="false" ht="15.75" hidden="false" customHeight="false" outlineLevel="0" collapsed="false">
      <c r="B196" s="47"/>
      <c r="C196" s="33"/>
      <c r="D196" s="33"/>
      <c r="E196" s="33"/>
      <c r="F196" s="33"/>
      <c r="G196" s="33"/>
      <c r="H196" s="48"/>
      <c r="J196" s="47"/>
      <c r="K196" s="33"/>
      <c r="L196" s="33"/>
      <c r="M196" s="33"/>
      <c r="N196" s="33"/>
      <c r="O196" s="33"/>
      <c r="P196" s="48"/>
    </row>
    <row r="197" customFormat="false" ht="15.75" hidden="false" customHeight="false" outlineLevel="0" collapsed="false">
      <c r="B197" s="47"/>
      <c r="C197" s="33"/>
      <c r="D197" s="33"/>
      <c r="E197" s="33"/>
      <c r="F197" s="33"/>
      <c r="G197" s="33"/>
      <c r="H197" s="48"/>
      <c r="J197" s="47"/>
      <c r="K197" s="33"/>
      <c r="L197" s="33"/>
      <c r="M197" s="33"/>
      <c r="N197" s="33"/>
      <c r="O197" s="33"/>
      <c r="P197" s="48"/>
    </row>
    <row r="198" customFormat="false" ht="15.75" hidden="false" customHeight="false" outlineLevel="0" collapsed="false">
      <c r="B198" s="47"/>
      <c r="C198" s="33"/>
      <c r="D198" s="33"/>
      <c r="E198" s="33"/>
      <c r="F198" s="33"/>
      <c r="G198" s="33"/>
      <c r="H198" s="48"/>
      <c r="J198" s="47"/>
      <c r="K198" s="33"/>
      <c r="L198" s="33"/>
      <c r="M198" s="33"/>
      <c r="N198" s="33"/>
      <c r="O198" s="33"/>
      <c r="P198" s="48"/>
    </row>
    <row r="199" customFormat="false" ht="16.5" hidden="false" customHeight="true" outlineLevel="0" collapsed="false">
      <c r="B199" s="52"/>
      <c r="C199" s="53"/>
      <c r="D199" s="53"/>
      <c r="E199" s="53"/>
      <c r="F199" s="53"/>
      <c r="G199" s="53"/>
      <c r="H199" s="63"/>
      <c r="J199" s="52"/>
      <c r="K199" s="53"/>
      <c r="L199" s="53"/>
      <c r="M199" s="53"/>
      <c r="N199" s="53"/>
      <c r="O199" s="53"/>
      <c r="P199" s="63"/>
    </row>
    <row r="200" customFormat="false" ht="16.5" hidden="false" customHeight="true" outlineLevel="0" collapsed="false">
      <c r="F200" s="59" t="n">
        <f aca="false">SUM(F194:F199)</f>
        <v>90755.005834876</v>
      </c>
      <c r="G200" s="60" t="n">
        <f aca="false">SUM(G194:G199)</f>
        <v>0</v>
      </c>
      <c r="H200" s="61" t="n">
        <f aca="false">SUM(H194:H199)</f>
        <v>90755.005834876</v>
      </c>
      <c r="N200" s="59" t="n">
        <f aca="false">SUM(N194:N199)</f>
        <v>0</v>
      </c>
      <c r="O200" s="60" t="n">
        <f aca="false">SUM(O194:O199)</f>
        <v>0</v>
      </c>
      <c r="P200" s="61" t="n">
        <f aca="false">SUM(P194:P199)</f>
        <v>0</v>
      </c>
    </row>
  </sheetData>
  <mergeCells count="60">
    <mergeCell ref="B3:H3"/>
    <mergeCell ref="J3:P3"/>
    <mergeCell ref="B4:H4"/>
    <mergeCell ref="J4:P4"/>
    <mergeCell ref="B16:H16"/>
    <mergeCell ref="J16:P16"/>
    <mergeCell ref="B17:H17"/>
    <mergeCell ref="J17:P17"/>
    <mergeCell ref="B30:H30"/>
    <mergeCell ref="J30:P30"/>
    <mergeCell ref="B31:H31"/>
    <mergeCell ref="J31:P31"/>
    <mergeCell ref="B43:H43"/>
    <mergeCell ref="J43:P43"/>
    <mergeCell ref="B44:H44"/>
    <mergeCell ref="J44:P44"/>
    <mergeCell ref="B57:H57"/>
    <mergeCell ref="J57:P57"/>
    <mergeCell ref="B58:H58"/>
    <mergeCell ref="J58:P58"/>
    <mergeCell ref="B71:H71"/>
    <mergeCell ref="J71:P71"/>
    <mergeCell ref="B72:H72"/>
    <mergeCell ref="J72:P72"/>
    <mergeCell ref="B84:H84"/>
    <mergeCell ref="J84:P84"/>
    <mergeCell ref="B85:H85"/>
    <mergeCell ref="J85:P85"/>
    <mergeCell ref="B97:H97"/>
    <mergeCell ref="J97:P97"/>
    <mergeCell ref="B98:H98"/>
    <mergeCell ref="J98:P98"/>
    <mergeCell ref="B110:H110"/>
    <mergeCell ref="J110:P110"/>
    <mergeCell ref="B111:H111"/>
    <mergeCell ref="J111:P111"/>
    <mergeCell ref="B124:H124"/>
    <mergeCell ref="J124:P124"/>
    <mergeCell ref="B125:H125"/>
    <mergeCell ref="J125:P125"/>
    <mergeCell ref="B137:H137"/>
    <mergeCell ref="J137:P137"/>
    <mergeCell ref="B138:H138"/>
    <mergeCell ref="J138:P138"/>
    <mergeCell ref="B151:H151"/>
    <mergeCell ref="J151:P151"/>
    <mergeCell ref="B152:H152"/>
    <mergeCell ref="J152:P152"/>
    <mergeCell ref="B164:H164"/>
    <mergeCell ref="J164:P164"/>
    <mergeCell ref="B165:H165"/>
    <mergeCell ref="J165:P165"/>
    <mergeCell ref="B177:H177"/>
    <mergeCell ref="J177:P177"/>
    <mergeCell ref="B178:H178"/>
    <mergeCell ref="J178:P178"/>
    <mergeCell ref="B190:H190"/>
    <mergeCell ref="J190:P190"/>
    <mergeCell ref="B191:H191"/>
    <mergeCell ref="J191:P19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R83"/>
  <sheetViews>
    <sheetView showFormulas="false" showGridLines="true" showRowColHeaders="true" showZeros="true" rightToLeft="false" tabSelected="false" showOutlineSymbols="true" defaultGridColor="true" view="normal" topLeftCell="E14" colorId="64" zoomScale="94" zoomScaleNormal="94" zoomScalePageLayoutView="100" workbookViewId="0">
      <selection pane="topLeft" activeCell="S41" activeCellId="0" sqref="S41"/>
    </sheetView>
  </sheetViews>
  <sheetFormatPr defaultColWidth="10.62109375" defaultRowHeight="15.75" zeroHeight="false" outlineLevelRow="0" outlineLevelCol="0"/>
  <cols>
    <col collapsed="false" customWidth="true" hidden="false" outlineLevel="0" max="3" min="3" style="1" width="25.17"/>
    <col collapsed="false" customWidth="true" hidden="false" outlineLevel="0" max="4" min="4" style="1" width="14.16"/>
    <col collapsed="false" customWidth="true" hidden="false" outlineLevel="0" max="5" min="5" style="1" width="13.5"/>
    <col collapsed="false" customWidth="true" hidden="false" outlineLevel="0" max="6" min="6" style="1" width="14.51"/>
    <col collapsed="false" customWidth="true" hidden="false" outlineLevel="0" max="9" min="9" style="1" width="29"/>
    <col collapsed="false" customWidth="true" hidden="false" outlineLevel="0" max="11" min="11" style="1" width="13.5"/>
    <col collapsed="false" customWidth="true" hidden="false" outlineLevel="0" max="12" min="12" style="1" width="14.51"/>
    <col collapsed="false" customWidth="true" hidden="false" outlineLevel="0" max="15" min="15" style="1" width="29"/>
    <col collapsed="false" customWidth="true" hidden="false" outlineLevel="0" max="18" min="18" style="1" width="12.33"/>
  </cols>
  <sheetData>
    <row r="3" customFormat="false" ht="15.75" hidden="false" customHeight="true" outlineLevel="0" collapsed="false">
      <c r="B3" s="88" t="s">
        <v>178</v>
      </c>
      <c r="C3" s="88"/>
      <c r="D3" s="88"/>
      <c r="E3" s="88"/>
      <c r="F3" s="88"/>
      <c r="H3" s="88" t="s">
        <v>178</v>
      </c>
      <c r="I3" s="88"/>
      <c r="J3" s="88"/>
      <c r="K3" s="88"/>
      <c r="L3" s="88"/>
      <c r="N3" s="88" t="s">
        <v>178</v>
      </c>
      <c r="O3" s="88"/>
      <c r="P3" s="88"/>
      <c r="Q3" s="88"/>
      <c r="R3" s="88"/>
    </row>
    <row r="4" customFormat="false" ht="15.75" hidden="false" customHeight="false" outlineLevel="0" collapsed="false">
      <c r="B4" s="89" t="s">
        <v>179</v>
      </c>
      <c r="C4" s="89"/>
      <c r="D4" s="89"/>
      <c r="E4" s="89"/>
      <c r="F4" s="89"/>
      <c r="H4" s="89" t="s">
        <v>179</v>
      </c>
      <c r="I4" s="89"/>
      <c r="J4" s="89"/>
      <c r="K4" s="89"/>
      <c r="L4" s="89"/>
      <c r="N4" s="89" t="s">
        <v>179</v>
      </c>
      <c r="O4" s="89"/>
      <c r="P4" s="89"/>
      <c r="Q4" s="89"/>
      <c r="R4" s="89"/>
    </row>
    <row r="5" customFormat="false" ht="15.75" hidden="false" customHeight="false" outlineLevel="0" collapsed="false">
      <c r="B5" s="90" t="s">
        <v>180</v>
      </c>
      <c r="C5" s="90"/>
      <c r="D5" s="89" t="n">
        <v>10</v>
      </c>
      <c r="E5" s="89"/>
      <c r="F5" s="89"/>
      <c r="H5" s="90" t="s">
        <v>180</v>
      </c>
      <c r="I5" s="90"/>
      <c r="J5" s="89" t="n">
        <v>10</v>
      </c>
      <c r="K5" s="89"/>
      <c r="L5" s="89"/>
      <c r="N5" s="90" t="s">
        <v>180</v>
      </c>
      <c r="O5" s="90"/>
      <c r="P5" s="89" t="n">
        <v>10</v>
      </c>
      <c r="Q5" s="89"/>
      <c r="R5" s="89"/>
    </row>
    <row r="6" customFormat="false" ht="15.75" hidden="false" customHeight="false" outlineLevel="0" collapsed="false">
      <c r="B6" s="90" t="s">
        <v>181</v>
      </c>
      <c r="C6" s="90"/>
      <c r="D6" s="89" t="n">
        <v>100</v>
      </c>
      <c r="E6" s="89"/>
      <c r="F6" s="89"/>
      <c r="H6" s="90" t="s">
        <v>181</v>
      </c>
      <c r="I6" s="90"/>
      <c r="J6" s="89" t="n">
        <v>100</v>
      </c>
      <c r="K6" s="89"/>
      <c r="L6" s="89"/>
      <c r="N6" s="90" t="s">
        <v>181</v>
      </c>
      <c r="O6" s="90"/>
      <c r="P6" s="89" t="n">
        <v>100</v>
      </c>
      <c r="Q6" s="89"/>
      <c r="R6" s="89"/>
    </row>
    <row r="7" customFormat="false" ht="15.75" hidden="false" customHeight="false" outlineLevel="0" collapsed="false">
      <c r="B7" s="90" t="s">
        <v>182</v>
      </c>
      <c r="C7" s="90"/>
      <c r="D7" s="91" t="s">
        <v>183</v>
      </c>
      <c r="E7" s="91"/>
      <c r="F7" s="91"/>
      <c r="H7" s="90" t="s">
        <v>182</v>
      </c>
      <c r="I7" s="90"/>
      <c r="J7" s="91" t="s">
        <v>183</v>
      </c>
      <c r="K7" s="91"/>
      <c r="L7" s="91"/>
      <c r="N7" s="90" t="s">
        <v>182</v>
      </c>
      <c r="O7" s="90"/>
      <c r="P7" s="91" t="s">
        <v>183</v>
      </c>
      <c r="Q7" s="91"/>
      <c r="R7" s="91"/>
    </row>
    <row r="8" customFormat="false" ht="15.75" hidden="false" customHeight="false" outlineLevel="0" collapsed="false">
      <c r="B8" s="90" t="s">
        <v>184</v>
      </c>
      <c r="C8" s="90"/>
      <c r="D8" s="89" t="str">
        <f aca="false">'ORDEN P'!C10</f>
        <v>CAMISETA S</v>
      </c>
      <c r="E8" s="89"/>
      <c r="F8" s="89"/>
      <c r="H8" s="90" t="s">
        <v>184</v>
      </c>
      <c r="I8" s="90"/>
      <c r="J8" s="89" t="str">
        <f aca="false">'ORDEN P'!C11</f>
        <v>CAMISETA M</v>
      </c>
      <c r="K8" s="89"/>
      <c r="L8" s="89"/>
      <c r="N8" s="90" t="s">
        <v>184</v>
      </c>
      <c r="O8" s="90"/>
      <c r="P8" s="89" t="str">
        <f aca="false">'ORDEN P'!C12</f>
        <v>CAMISETA L</v>
      </c>
      <c r="Q8" s="89"/>
      <c r="R8" s="89"/>
    </row>
    <row r="9" customFormat="false" ht="15.75" hidden="false" customHeight="false" outlineLevel="0" collapsed="false">
      <c r="B9" s="90" t="s">
        <v>185</v>
      </c>
      <c r="C9" s="90"/>
      <c r="D9" s="89" t="n">
        <f aca="false">'ORDEN P'!B10</f>
        <v>4000</v>
      </c>
      <c r="E9" s="89"/>
      <c r="F9" s="89"/>
      <c r="H9" s="90" t="s">
        <v>185</v>
      </c>
      <c r="I9" s="90"/>
      <c r="J9" s="89" t="n">
        <f aca="false">'ORDEN P'!B11</f>
        <v>6000</v>
      </c>
      <c r="K9" s="89"/>
      <c r="L9" s="89"/>
      <c r="N9" s="90" t="s">
        <v>185</v>
      </c>
      <c r="O9" s="90"/>
      <c r="P9" s="89" t="n">
        <f aca="false">'ORDEN P'!B12</f>
        <v>5000</v>
      </c>
      <c r="Q9" s="89"/>
      <c r="R9" s="89"/>
    </row>
    <row r="10" customFormat="false" ht="15.75" hidden="false" customHeight="false" outlineLevel="0" collapsed="false">
      <c r="B10" s="90" t="s">
        <v>186</v>
      </c>
      <c r="C10" s="90"/>
      <c r="D10" s="91" t="n">
        <v>46027</v>
      </c>
      <c r="E10" s="91"/>
      <c r="F10" s="91"/>
      <c r="H10" s="90" t="s">
        <v>186</v>
      </c>
      <c r="I10" s="90"/>
      <c r="J10" s="91" t="n">
        <v>46027</v>
      </c>
      <c r="K10" s="91"/>
      <c r="L10" s="91"/>
      <c r="N10" s="90" t="s">
        <v>186</v>
      </c>
      <c r="O10" s="90"/>
      <c r="P10" s="91" t="n">
        <v>46027</v>
      </c>
      <c r="Q10" s="91"/>
      <c r="R10" s="91"/>
    </row>
    <row r="11" customFormat="false" ht="15.75" hidden="false" customHeight="false" outlineLevel="0" collapsed="false">
      <c r="B11" s="90" t="s">
        <v>187</v>
      </c>
      <c r="C11" s="90"/>
      <c r="D11" s="91" t="n">
        <f aca="false">KARDEX!B116</f>
        <v>46036</v>
      </c>
      <c r="E11" s="91"/>
      <c r="F11" s="91"/>
      <c r="H11" s="90" t="s">
        <v>187</v>
      </c>
      <c r="I11" s="90"/>
      <c r="J11" s="91" t="n">
        <v>46036</v>
      </c>
      <c r="K11" s="91"/>
      <c r="L11" s="91"/>
      <c r="N11" s="90" t="s">
        <v>187</v>
      </c>
      <c r="O11" s="90"/>
      <c r="P11" s="91" t="n">
        <f aca="false">KARDEX!N116</f>
        <v>0</v>
      </c>
      <c r="Q11" s="91"/>
      <c r="R11" s="91"/>
    </row>
    <row r="12" customFormat="false" ht="15.75" hidden="false" customHeight="false" outlineLevel="0" collapsed="false">
      <c r="B12" s="92"/>
      <c r="C12" s="23"/>
      <c r="D12" s="23"/>
      <c r="E12" s="23"/>
      <c r="F12" s="93"/>
      <c r="H12" s="92"/>
      <c r="I12" s="23"/>
      <c r="J12" s="23"/>
      <c r="K12" s="23"/>
      <c r="L12" s="93"/>
      <c r="N12" s="92"/>
      <c r="O12" s="23"/>
      <c r="P12" s="23"/>
      <c r="Q12" s="23"/>
      <c r="R12" s="93"/>
    </row>
    <row r="13" customFormat="false" ht="15.75" hidden="false" customHeight="true" outlineLevel="0" collapsed="false">
      <c r="B13" s="94" t="s">
        <v>188</v>
      </c>
      <c r="C13" s="94"/>
      <c r="D13" s="94"/>
      <c r="E13" s="94"/>
      <c r="F13" s="94"/>
      <c r="H13" s="94" t="s">
        <v>188</v>
      </c>
      <c r="I13" s="94"/>
      <c r="J13" s="94"/>
      <c r="K13" s="94"/>
      <c r="L13" s="94"/>
      <c r="N13" s="94" t="s">
        <v>188</v>
      </c>
      <c r="O13" s="94"/>
      <c r="P13" s="94"/>
      <c r="Q13" s="94"/>
      <c r="R13" s="94"/>
    </row>
    <row r="14" customFormat="false" ht="15.75" hidden="false" customHeight="false" outlineLevel="0" collapsed="false">
      <c r="B14" s="28" t="s">
        <v>189</v>
      </c>
      <c r="C14" s="28" t="s">
        <v>45</v>
      </c>
      <c r="D14" s="28" t="s">
        <v>26</v>
      </c>
      <c r="E14" s="28" t="s">
        <v>190</v>
      </c>
      <c r="F14" s="28" t="s">
        <v>191</v>
      </c>
      <c r="H14" s="28" t="s">
        <v>189</v>
      </c>
      <c r="I14" s="28" t="s">
        <v>45</v>
      </c>
      <c r="J14" s="28" t="s">
        <v>26</v>
      </c>
      <c r="K14" s="28" t="s">
        <v>190</v>
      </c>
      <c r="L14" s="28" t="s">
        <v>191</v>
      </c>
      <c r="N14" s="28" t="s">
        <v>189</v>
      </c>
      <c r="O14" s="28" t="s">
        <v>45</v>
      </c>
      <c r="P14" s="28" t="s">
        <v>26</v>
      </c>
      <c r="Q14" s="28" t="s">
        <v>190</v>
      </c>
      <c r="R14" s="28" t="s">
        <v>191</v>
      </c>
    </row>
    <row r="15" customFormat="false" ht="15.75" hidden="false" customHeight="false" outlineLevel="0" collapsed="false">
      <c r="B15" s="95" t="n">
        <f aca="false">KARDEX!B11</f>
        <v>46027</v>
      </c>
      <c r="C15" s="90" t="str">
        <f aca="false">KARDEX!C5</f>
        <v>TELA PIQUET</v>
      </c>
      <c r="D15" s="28" t="n">
        <f aca="false">'HOJA DE COSTOS'!D9</f>
        <v>4000</v>
      </c>
      <c r="E15" s="30" t="n">
        <f aca="false">F15/D15</f>
        <v>3.61931101643335</v>
      </c>
      <c r="F15" s="96" t="n">
        <f aca="false">KARDEX!I11</f>
        <v>14477.2440657334</v>
      </c>
      <c r="H15" s="95" t="n">
        <f aca="false">B15</f>
        <v>46027</v>
      </c>
      <c r="I15" s="90" t="str">
        <f aca="false">C15</f>
        <v>TELA PIQUET</v>
      </c>
      <c r="J15" s="28" t="n">
        <f aca="false">'HOJA DE COSTOS'!J9</f>
        <v>6000</v>
      </c>
      <c r="K15" s="30" t="n">
        <f aca="false">L15/J15</f>
        <v>4.07172489348752</v>
      </c>
      <c r="L15" s="96" t="n">
        <f aca="false">KARDEX!I12</f>
        <v>24430.3493609251</v>
      </c>
      <c r="N15" s="95" t="n">
        <f aca="false">B15</f>
        <v>46027</v>
      </c>
      <c r="O15" s="90" t="str">
        <f aca="false">C15</f>
        <v>TELA PIQUET</v>
      </c>
      <c r="P15" s="28" t="n">
        <f aca="false">'HOJA DE COSTOS'!P9</f>
        <v>5000</v>
      </c>
      <c r="Q15" s="30" t="n">
        <f aca="false">R15/P15</f>
        <v>4.97655264759586</v>
      </c>
      <c r="R15" s="96" t="n">
        <f aca="false">KARDEX!I13</f>
        <v>24882.7632379793</v>
      </c>
    </row>
    <row r="16" customFormat="false" ht="15.75" hidden="false" customHeight="false" outlineLevel="0" collapsed="false">
      <c r="B16" s="95" t="n">
        <f aca="false">KARDEX!B27</f>
        <v>46027</v>
      </c>
      <c r="C16" s="90" t="str">
        <f aca="false">KARDEX!C21</f>
        <v>CUELLOS</v>
      </c>
      <c r="D16" s="28" t="n">
        <f aca="false">D9</f>
        <v>4000</v>
      </c>
      <c r="E16" s="30" t="n">
        <f aca="false">F16/D16</f>
        <v>0.542857142857143</v>
      </c>
      <c r="F16" s="96" t="n">
        <f aca="false">KARDEX!I27</f>
        <v>2171.42857142857</v>
      </c>
      <c r="H16" s="95" t="n">
        <f aca="false">B16</f>
        <v>46027</v>
      </c>
      <c r="I16" s="90" t="str">
        <f aca="false">C16</f>
        <v>CUELLOS</v>
      </c>
      <c r="J16" s="28" t="n">
        <f aca="false">J9</f>
        <v>6000</v>
      </c>
      <c r="K16" s="30" t="n">
        <f aca="false">L16/J16</f>
        <v>0.542857142857143</v>
      </c>
      <c r="L16" s="96" t="n">
        <f aca="false">KARDEX!I28</f>
        <v>3257.14285714286</v>
      </c>
      <c r="N16" s="95" t="n">
        <f aca="false">B16</f>
        <v>46027</v>
      </c>
      <c r="O16" s="90" t="str">
        <f aca="false">C16</f>
        <v>CUELLOS</v>
      </c>
      <c r="P16" s="28" t="n">
        <f aca="false">P9</f>
        <v>5000</v>
      </c>
      <c r="Q16" s="30" t="n">
        <f aca="false">R16/P16</f>
        <v>0.542857142857143</v>
      </c>
      <c r="R16" s="96" t="n">
        <f aca="false">KARDEX!I29</f>
        <v>2714.28571428571</v>
      </c>
    </row>
    <row r="17" customFormat="false" ht="15.75" hidden="false" customHeight="false" outlineLevel="0" collapsed="false">
      <c r="B17" s="95" t="n">
        <f aca="false">KARDEX!B43</f>
        <v>46027</v>
      </c>
      <c r="C17" s="90" t="str">
        <f aca="false">KARDEX!C37</f>
        <v>PUÑOS</v>
      </c>
      <c r="D17" s="28" t="n">
        <f aca="false">D9</f>
        <v>4000</v>
      </c>
      <c r="E17" s="30" t="n">
        <f aca="false">F17/D17</f>
        <v>0.435238095238095</v>
      </c>
      <c r="F17" s="96" t="n">
        <f aca="false">KARDEX!I43</f>
        <v>1740.95238095238</v>
      </c>
      <c r="H17" s="95" t="n">
        <f aca="false">B17</f>
        <v>46027</v>
      </c>
      <c r="I17" s="90" t="str">
        <f aca="false">C17</f>
        <v>PUÑOS</v>
      </c>
      <c r="J17" s="28" t="n">
        <f aca="false">J9</f>
        <v>6000</v>
      </c>
      <c r="K17" s="30" t="n">
        <f aca="false">L17/J17</f>
        <v>0.435238095238095</v>
      </c>
      <c r="L17" s="96" t="n">
        <f aca="false">KARDEX!I44</f>
        <v>2611.42857142857</v>
      </c>
      <c r="N17" s="95" t="n">
        <f aca="false">B17</f>
        <v>46027</v>
      </c>
      <c r="O17" s="90" t="str">
        <f aca="false">C17</f>
        <v>PUÑOS</v>
      </c>
      <c r="P17" s="28" t="n">
        <f aca="false">P9</f>
        <v>5000</v>
      </c>
      <c r="Q17" s="30" t="n">
        <f aca="false">R17/P17</f>
        <v>0.435238095238095</v>
      </c>
      <c r="R17" s="96" t="n">
        <f aca="false">KARDEX!I45</f>
        <v>2176.19047619048</v>
      </c>
    </row>
    <row r="18" customFormat="false" ht="15.75" hidden="false" customHeight="false" outlineLevel="0" collapsed="false">
      <c r="B18" s="95" t="n">
        <f aca="false">KARDEX!B59</f>
        <v>46027</v>
      </c>
      <c r="C18" s="90" t="str">
        <f aca="false">KARDEX!C53</f>
        <v>BOTÓN</v>
      </c>
      <c r="D18" s="28" t="n">
        <f aca="false">D9</f>
        <v>4000</v>
      </c>
      <c r="E18" s="30" t="n">
        <f aca="false">F18/D18</f>
        <v>0.10047619047619</v>
      </c>
      <c r="F18" s="96" t="n">
        <f aca="false">KARDEX!I59</f>
        <v>401.904761904762</v>
      </c>
      <c r="H18" s="95" t="n">
        <f aca="false">B18</f>
        <v>46027</v>
      </c>
      <c r="I18" s="90" t="str">
        <f aca="false">C18</f>
        <v>BOTÓN</v>
      </c>
      <c r="J18" s="28" t="n">
        <f aca="false">J9</f>
        <v>6000</v>
      </c>
      <c r="K18" s="30" t="n">
        <f aca="false">L18/J18</f>
        <v>0.10047619047619</v>
      </c>
      <c r="L18" s="96" t="n">
        <f aca="false">KARDEX!I60</f>
        <v>602.857142857143</v>
      </c>
      <c r="N18" s="95" t="n">
        <f aca="false">B18</f>
        <v>46027</v>
      </c>
      <c r="O18" s="90" t="str">
        <f aca="false">C18</f>
        <v>BOTÓN</v>
      </c>
      <c r="P18" s="28" t="n">
        <f aca="false">P9</f>
        <v>5000</v>
      </c>
      <c r="Q18" s="30" t="n">
        <f aca="false">R18/P18</f>
        <v>0.100476190476191</v>
      </c>
      <c r="R18" s="96" t="n">
        <f aca="false">KARDEX!I61</f>
        <v>502.380952380952</v>
      </c>
    </row>
    <row r="19" customFormat="false" ht="15.75" hidden="false" customHeight="false" outlineLevel="0" collapsed="false">
      <c r="B19" s="92"/>
      <c r="C19" s="23"/>
      <c r="D19" s="23"/>
      <c r="E19" s="97" t="s">
        <v>192</v>
      </c>
      <c r="F19" s="98" t="n">
        <f aca="false">SUM(F15:F18)</f>
        <v>18791.5297800191</v>
      </c>
      <c r="H19" s="92"/>
      <c r="I19" s="23"/>
      <c r="J19" s="23"/>
      <c r="K19" s="97" t="s">
        <v>192</v>
      </c>
      <c r="L19" s="98" t="n">
        <f aca="false">SUM(L15:L18)</f>
        <v>30901.7779323537</v>
      </c>
      <c r="N19" s="92"/>
      <c r="O19" s="23"/>
      <c r="P19" s="23"/>
      <c r="Q19" s="97" t="s">
        <v>192</v>
      </c>
      <c r="R19" s="98" t="n">
        <f aca="false">SUM(R15:R18)</f>
        <v>30275.6203808365</v>
      </c>
    </row>
    <row r="20" customFormat="false" ht="15.75" hidden="false" customHeight="false" outlineLevel="0" collapsed="false">
      <c r="B20" s="92"/>
      <c r="C20" s="23"/>
      <c r="D20" s="23"/>
      <c r="E20" s="23"/>
      <c r="F20" s="93"/>
      <c r="H20" s="92"/>
      <c r="I20" s="23"/>
      <c r="J20" s="23"/>
      <c r="K20" s="23"/>
      <c r="L20" s="93"/>
      <c r="N20" s="92"/>
      <c r="O20" s="23"/>
      <c r="P20" s="23"/>
      <c r="Q20" s="23"/>
      <c r="R20" s="93"/>
    </row>
    <row r="21" customFormat="false" ht="15.75" hidden="false" customHeight="false" outlineLevel="0" collapsed="false">
      <c r="B21" s="99" t="s">
        <v>193</v>
      </c>
      <c r="C21" s="99"/>
      <c r="D21" s="99"/>
      <c r="E21" s="99"/>
      <c r="F21" s="99"/>
      <c r="H21" s="99" t="s">
        <v>193</v>
      </c>
      <c r="I21" s="99"/>
      <c r="J21" s="99"/>
      <c r="K21" s="99"/>
      <c r="L21" s="99"/>
      <c r="N21" s="99" t="s">
        <v>193</v>
      </c>
      <c r="O21" s="99"/>
      <c r="P21" s="99"/>
      <c r="Q21" s="99"/>
      <c r="R21" s="99"/>
    </row>
    <row r="22" customFormat="false" ht="15.75" hidden="false" customHeight="false" outlineLevel="0" collapsed="false">
      <c r="B22" s="28" t="s">
        <v>189</v>
      </c>
      <c r="C22" s="28" t="s">
        <v>45</v>
      </c>
      <c r="D22" s="28" t="s">
        <v>26</v>
      </c>
      <c r="E22" s="28" t="s">
        <v>190</v>
      </c>
      <c r="F22" s="28" t="s">
        <v>191</v>
      </c>
      <c r="H22" s="28" t="s">
        <v>189</v>
      </c>
      <c r="I22" s="28" t="s">
        <v>45</v>
      </c>
      <c r="J22" s="28" t="s">
        <v>26</v>
      </c>
      <c r="K22" s="28" t="s">
        <v>190</v>
      </c>
      <c r="L22" s="28" t="s">
        <v>191</v>
      </c>
      <c r="N22" s="28" t="s">
        <v>189</v>
      </c>
      <c r="O22" s="28" t="s">
        <v>45</v>
      </c>
      <c r="P22" s="28" t="s">
        <v>26</v>
      </c>
      <c r="Q22" s="28" t="s">
        <v>190</v>
      </c>
      <c r="R22" s="28" t="s">
        <v>191</v>
      </c>
    </row>
    <row r="23" customFormat="false" ht="15.75" hidden="false" customHeight="false" outlineLevel="0" collapsed="false">
      <c r="B23" s="95" t="n">
        <f aca="false">MAYORIZACIÓN!J61</f>
        <v>46031</v>
      </c>
      <c r="C23" s="25" t="s">
        <v>194</v>
      </c>
      <c r="D23" s="28" t="n">
        <f aca="false">D9</f>
        <v>4000</v>
      </c>
      <c r="E23" s="34" t="n">
        <f aca="false">F23/D23</f>
        <v>0.349891990234375</v>
      </c>
      <c r="F23" s="34" t="n">
        <f aca="false">'LIBRO DIARIO'!G40*25%</f>
        <v>1399.5679609375</v>
      </c>
      <c r="H23" s="95" t="n">
        <f aca="false">B23</f>
        <v>46031</v>
      </c>
      <c r="I23" s="25" t="s">
        <v>194</v>
      </c>
      <c r="J23" s="28" t="n">
        <f aca="false">J9</f>
        <v>6000</v>
      </c>
      <c r="K23" s="34" t="n">
        <f aca="false">L23/J23</f>
        <v>0.373218122916667</v>
      </c>
      <c r="L23" s="34" t="n">
        <f aca="false">'LIBRO DIARIO'!G40*40%</f>
        <v>2239.3087375</v>
      </c>
      <c r="N23" s="95" t="n">
        <f aca="false">B23</f>
        <v>46031</v>
      </c>
      <c r="O23" s="25" t="s">
        <v>194</v>
      </c>
      <c r="P23" s="28" t="n">
        <f aca="false">P9</f>
        <v>5000</v>
      </c>
      <c r="Q23" s="34" t="n">
        <f aca="false">R23/P23</f>
        <v>0.3918790290625</v>
      </c>
      <c r="R23" s="34" t="n">
        <f aca="false">'LIBRO DIARIO'!G40*35%</f>
        <v>1959.3951453125</v>
      </c>
    </row>
    <row r="24" customFormat="false" ht="15.75" hidden="false" customHeight="false" outlineLevel="0" collapsed="false">
      <c r="B24" s="95" t="n">
        <f aca="false">'LIBRO DIARIO'!B43</f>
        <v>46036</v>
      </c>
      <c r="C24" s="25" t="s">
        <v>195</v>
      </c>
      <c r="D24" s="28" t="n">
        <f aca="false">D9</f>
        <v>4000</v>
      </c>
      <c r="E24" s="34" t="n">
        <f aca="false">F24/D24</f>
        <v>0.209935194140625</v>
      </c>
      <c r="F24" s="34" t="n">
        <f aca="false">'LIBRO DIARIO'!G56*25%</f>
        <v>839.7407765625</v>
      </c>
      <c r="H24" s="95" t="n">
        <f aca="false">B24</f>
        <v>46036</v>
      </c>
      <c r="I24" s="25" t="s">
        <v>195</v>
      </c>
      <c r="J24" s="28" t="n">
        <f aca="false">J9</f>
        <v>6000</v>
      </c>
      <c r="K24" s="34" t="n">
        <f aca="false">L24/J24</f>
        <v>0.22393087375</v>
      </c>
      <c r="L24" s="34" t="n">
        <f aca="false">'LIBRO DIARIO'!F44*40%</f>
        <v>1343.5852425</v>
      </c>
      <c r="N24" s="95" t="n">
        <f aca="false">B24</f>
        <v>46036</v>
      </c>
      <c r="O24" s="25" t="s">
        <v>195</v>
      </c>
      <c r="P24" s="28" t="n">
        <f aca="false">P9</f>
        <v>5000</v>
      </c>
      <c r="Q24" s="34" t="n">
        <f aca="false">R24/P24</f>
        <v>0.2351274174375</v>
      </c>
      <c r="R24" s="34" t="n">
        <f aca="false">'LIBRO DIARIO'!G56*35%</f>
        <v>1175.6370871875</v>
      </c>
    </row>
    <row r="25" customFormat="false" ht="15.75" hidden="false" customHeight="false" outlineLevel="0" collapsed="false">
      <c r="B25" s="92"/>
      <c r="C25" s="23"/>
      <c r="D25" s="23"/>
      <c r="E25" s="37" t="s">
        <v>192</v>
      </c>
      <c r="F25" s="100" t="n">
        <f aca="false">SUM(F23:F24)</f>
        <v>2239.3087375</v>
      </c>
      <c r="H25" s="92"/>
      <c r="I25" s="23"/>
      <c r="J25" s="23"/>
      <c r="K25" s="37" t="s">
        <v>192</v>
      </c>
      <c r="L25" s="100" t="n">
        <f aca="false">SUM(L23:L24)</f>
        <v>3582.89398</v>
      </c>
      <c r="N25" s="92"/>
      <c r="O25" s="23"/>
      <c r="P25" s="23"/>
      <c r="Q25" s="37" t="s">
        <v>192</v>
      </c>
      <c r="R25" s="100" t="n">
        <f aca="false">SUM(R23:R24)</f>
        <v>3135.0322325</v>
      </c>
    </row>
    <row r="26" customFormat="false" ht="15.75" hidden="false" customHeight="false" outlineLevel="0" collapsed="false">
      <c r="B26" s="92"/>
      <c r="C26" s="23"/>
      <c r="D26" s="23"/>
      <c r="E26" s="23"/>
      <c r="F26" s="93"/>
      <c r="H26" s="92"/>
      <c r="I26" s="23"/>
      <c r="J26" s="23"/>
      <c r="K26" s="23"/>
      <c r="L26" s="93"/>
      <c r="N26" s="92"/>
      <c r="O26" s="23"/>
      <c r="P26" s="23"/>
      <c r="Q26" s="23"/>
      <c r="R26" s="93"/>
    </row>
    <row r="27" customFormat="false" ht="15.75" hidden="false" customHeight="false" outlineLevel="0" collapsed="false">
      <c r="B27" s="101" t="s">
        <v>196</v>
      </c>
      <c r="C27" s="101"/>
      <c r="D27" s="101"/>
      <c r="E27" s="101"/>
      <c r="F27" s="101"/>
      <c r="H27" s="101" t="s">
        <v>196</v>
      </c>
      <c r="I27" s="101"/>
      <c r="J27" s="101"/>
      <c r="K27" s="101"/>
      <c r="L27" s="101"/>
      <c r="N27" s="101" t="s">
        <v>196</v>
      </c>
      <c r="O27" s="101"/>
      <c r="P27" s="101"/>
      <c r="Q27" s="101"/>
      <c r="R27" s="101"/>
    </row>
    <row r="28" customFormat="false" ht="15.75" hidden="false" customHeight="false" outlineLevel="0" collapsed="false">
      <c r="B28" s="28" t="s">
        <v>189</v>
      </c>
      <c r="C28" s="28" t="s">
        <v>45</v>
      </c>
      <c r="D28" s="28" t="s">
        <v>26</v>
      </c>
      <c r="E28" s="28" t="s">
        <v>190</v>
      </c>
      <c r="F28" s="28" t="s">
        <v>191</v>
      </c>
      <c r="H28" s="28" t="s">
        <v>189</v>
      </c>
      <c r="I28" s="28" t="s">
        <v>45</v>
      </c>
      <c r="J28" s="28" t="s">
        <v>26</v>
      </c>
      <c r="K28" s="28" t="s">
        <v>190</v>
      </c>
      <c r="L28" s="28" t="s">
        <v>191</v>
      </c>
      <c r="N28" s="28" t="s">
        <v>189</v>
      </c>
      <c r="O28" s="28" t="s">
        <v>45</v>
      </c>
      <c r="P28" s="28" t="s">
        <v>26</v>
      </c>
      <c r="Q28" s="28" t="s">
        <v>190</v>
      </c>
      <c r="R28" s="28" t="s">
        <v>191</v>
      </c>
    </row>
    <row r="29" customFormat="false" ht="15.75" hidden="false" customHeight="false" outlineLevel="0" collapsed="false">
      <c r="B29" s="95" t="n">
        <f aca="false">KARDEX!B75</f>
        <v>46027</v>
      </c>
      <c r="C29" s="25" t="str">
        <f aca="false">KARDEX!C69</f>
        <v>HILO</v>
      </c>
      <c r="D29" s="28" t="n">
        <f aca="false">D9</f>
        <v>4000</v>
      </c>
      <c r="E29" s="102" t="n">
        <f aca="false">F29/D29</f>
        <v>0.004</v>
      </c>
      <c r="F29" s="34" t="n">
        <f aca="false">KARDEX!I75</f>
        <v>16</v>
      </c>
      <c r="H29" s="95" t="n">
        <f aca="false">B29</f>
        <v>46027</v>
      </c>
      <c r="I29" s="25" t="str">
        <f aca="false">C29</f>
        <v>HILO</v>
      </c>
      <c r="J29" s="28" t="n">
        <f aca="false">J9</f>
        <v>6000</v>
      </c>
      <c r="K29" s="102" t="n">
        <f aca="false">L29/J29</f>
        <v>0.005</v>
      </c>
      <c r="L29" s="34" t="n">
        <f aca="false">KARDEX!I76</f>
        <v>30</v>
      </c>
      <c r="N29" s="95" t="n">
        <f aca="false">B29</f>
        <v>46027</v>
      </c>
      <c r="O29" s="25" t="s">
        <v>7</v>
      </c>
      <c r="P29" s="28" t="n">
        <f aca="false">P9</f>
        <v>5000</v>
      </c>
      <c r="Q29" s="102" t="n">
        <f aca="false">R29/P29</f>
        <v>0.006</v>
      </c>
      <c r="R29" s="34" t="n">
        <f aca="false">KARDEX!I77</f>
        <v>30</v>
      </c>
    </row>
    <row r="30" customFormat="false" ht="15.75" hidden="false" customHeight="false" outlineLevel="0" collapsed="false">
      <c r="B30" s="95" t="n">
        <f aca="false">MAYORIZACIÓN!B75</f>
        <v>46031</v>
      </c>
      <c r="C30" s="25" t="s">
        <v>197</v>
      </c>
      <c r="D30" s="28" t="n">
        <f aca="false">D9</f>
        <v>4000</v>
      </c>
      <c r="E30" s="102" t="n">
        <f aca="false">F30/D30</f>
        <v>0.0364879996744792</v>
      </c>
      <c r="F30" s="30" t="n">
        <f aca="false">'LIBRO DIARIO'!F29*25%</f>
        <v>145.951998697917</v>
      </c>
      <c r="H30" s="95" t="n">
        <f aca="false">B30</f>
        <v>46031</v>
      </c>
      <c r="I30" s="25" t="str">
        <f aca="false">C30</f>
        <v>MOI</v>
      </c>
      <c r="J30" s="28" t="n">
        <f aca="false">J9</f>
        <v>6000</v>
      </c>
      <c r="K30" s="102" t="n">
        <f aca="false">L30/J30</f>
        <v>0.0389205329861111</v>
      </c>
      <c r="L30" s="30" t="n">
        <f aca="false">'LIBRO DIARIO'!F29*40%</f>
        <v>233.523197916667</v>
      </c>
      <c r="N30" s="95" t="n">
        <f aca="false">B30</f>
        <v>46031</v>
      </c>
      <c r="O30" s="25" t="s">
        <v>197</v>
      </c>
      <c r="P30" s="28" t="n">
        <f aca="false">P9</f>
        <v>5000</v>
      </c>
      <c r="Q30" s="102" t="n">
        <f aca="false">R30/P30</f>
        <v>0.0408665596354167</v>
      </c>
      <c r="R30" s="30" t="n">
        <f aca="false">'LIBRO DIARIO'!F29*35%</f>
        <v>204.332798177083</v>
      </c>
    </row>
    <row r="31" customFormat="false" ht="15.75" hidden="false" customHeight="false" outlineLevel="0" collapsed="false">
      <c r="B31" s="95" t="n">
        <f aca="false">'LIBRO DIARIO'!B43</f>
        <v>46036</v>
      </c>
      <c r="C31" s="25" t="s">
        <v>197</v>
      </c>
      <c r="D31" s="28" t="n">
        <f aca="false">D9</f>
        <v>4000</v>
      </c>
      <c r="E31" s="102" t="n">
        <f aca="false">F31/D31</f>
        <v>0.0218927998046875</v>
      </c>
      <c r="F31" s="30" t="n">
        <f aca="false">'LIBRO DIARIO'!F45*25%</f>
        <v>87.57119921875</v>
      </c>
      <c r="H31" s="95" t="n">
        <f aca="false">B31</f>
        <v>46036</v>
      </c>
      <c r="I31" s="25" t="str">
        <f aca="false">C31</f>
        <v>MOI</v>
      </c>
      <c r="J31" s="28" t="n">
        <f aca="false">J9</f>
        <v>6000</v>
      </c>
      <c r="K31" s="102" t="n">
        <f aca="false">L31/J31</f>
        <v>0.0233523197916667</v>
      </c>
      <c r="L31" s="30" t="n">
        <f aca="false">'LIBRO DIARIO'!F45*40%</f>
        <v>140.11391875</v>
      </c>
      <c r="N31" s="95" t="n">
        <f aca="false">B31</f>
        <v>46036</v>
      </c>
      <c r="O31" s="25" t="str">
        <f aca="false">C31</f>
        <v>MOI</v>
      </c>
      <c r="P31" s="28" t="n">
        <f aca="false">P9</f>
        <v>5000</v>
      </c>
      <c r="Q31" s="102" t="n">
        <f aca="false">R31/P31</f>
        <v>0.02451993578125</v>
      </c>
      <c r="R31" s="30" t="n">
        <f aca="false">'LIBRO DIARIO'!F45*35%</f>
        <v>122.59967890625</v>
      </c>
    </row>
    <row r="32" customFormat="false" ht="15.75" hidden="false" customHeight="false" outlineLevel="0" collapsed="false">
      <c r="B32" s="95" t="n">
        <f aca="false">'LIBRO DIARIO'!B43</f>
        <v>46036</v>
      </c>
      <c r="C32" s="25" t="str">
        <f aca="false">CÁLCULOS!B64</f>
        <v>ENERGÍA ELÉCTRICA</v>
      </c>
      <c r="D32" s="28" t="n">
        <f aca="false">D9</f>
        <v>4000</v>
      </c>
      <c r="E32" s="102" t="n">
        <f aca="false">F32/D32</f>
        <v>0.0125</v>
      </c>
      <c r="F32" s="30" t="n">
        <f aca="false">CÁLCULOS!G64</f>
        <v>50</v>
      </c>
      <c r="H32" s="95" t="n">
        <f aca="false">B32</f>
        <v>46036</v>
      </c>
      <c r="I32" s="25" t="str">
        <f aca="false">C32</f>
        <v>ENERGÍA ELÉCTRICA</v>
      </c>
      <c r="J32" s="28" t="n">
        <f aca="false">J9</f>
        <v>6000</v>
      </c>
      <c r="K32" s="102" t="n">
        <f aca="false">L32/J32</f>
        <v>0.0125</v>
      </c>
      <c r="L32" s="30" t="n">
        <f aca="false">CÁLCULOS!H64</f>
        <v>75</v>
      </c>
      <c r="N32" s="95" t="n">
        <f aca="false">B32</f>
        <v>46036</v>
      </c>
      <c r="O32" s="25" t="str">
        <f aca="false">C32</f>
        <v>ENERGÍA ELÉCTRICA</v>
      </c>
      <c r="P32" s="28" t="n">
        <f aca="false">P9</f>
        <v>5000</v>
      </c>
      <c r="Q32" s="102" t="n">
        <f aca="false">R32/P32</f>
        <v>0.0125</v>
      </c>
      <c r="R32" s="30" t="n">
        <f aca="false">CÁLCULOS!I64</f>
        <v>62.5</v>
      </c>
    </row>
    <row r="33" customFormat="false" ht="15.75" hidden="false" customHeight="false" outlineLevel="0" collapsed="false">
      <c r="B33" s="95" t="n">
        <f aca="false">'LIBRO DIARIO'!B43</f>
        <v>46036</v>
      </c>
      <c r="C33" s="25" t="str">
        <f aca="false">CÁLCULOS!B65</f>
        <v>MANTENIMIENTO </v>
      </c>
      <c r="D33" s="28" t="n">
        <f aca="false">D9</f>
        <v>4000</v>
      </c>
      <c r="E33" s="102" t="n">
        <f aca="false">F33/D33</f>
        <v>0.01875</v>
      </c>
      <c r="F33" s="30" t="n">
        <f aca="false">CÁLCULOS!G65</f>
        <v>75</v>
      </c>
      <c r="H33" s="95" t="n">
        <f aca="false">B33</f>
        <v>46036</v>
      </c>
      <c r="I33" s="25" t="str">
        <f aca="false">C33</f>
        <v>MANTENIMIENTO </v>
      </c>
      <c r="J33" s="28" t="n">
        <f aca="false">J9</f>
        <v>6000</v>
      </c>
      <c r="K33" s="102" t="n">
        <f aca="false">L33/J33</f>
        <v>0.01875</v>
      </c>
      <c r="L33" s="30" t="n">
        <f aca="false">CÁLCULOS!H65</f>
        <v>112.5</v>
      </c>
      <c r="N33" s="95" t="n">
        <f aca="false">B33</f>
        <v>46036</v>
      </c>
      <c r="O33" s="25" t="str">
        <f aca="false">C33</f>
        <v>MANTENIMIENTO </v>
      </c>
      <c r="P33" s="28" t="n">
        <f aca="false">P9</f>
        <v>5000</v>
      </c>
      <c r="Q33" s="102" t="n">
        <f aca="false">R33/P33</f>
        <v>0.01875</v>
      </c>
      <c r="R33" s="30" t="n">
        <f aca="false">CÁLCULOS!I65</f>
        <v>93.75</v>
      </c>
    </row>
    <row r="34" customFormat="false" ht="15.75" hidden="false" customHeight="false" outlineLevel="0" collapsed="false">
      <c r="B34" s="95" t="n">
        <f aca="false">'LIBRO DIARIO'!B43</f>
        <v>46036</v>
      </c>
      <c r="C34" s="25" t="str">
        <f aca="false">CÁLCULOS!B66</f>
        <v>SEGUROS DE FÁBRICA</v>
      </c>
      <c r="D34" s="28" t="n">
        <f aca="false">D9</f>
        <v>4000</v>
      </c>
      <c r="E34" s="102" t="n">
        <f aca="false">F34/D34</f>
        <v>0.00875</v>
      </c>
      <c r="F34" s="30" t="n">
        <f aca="false">CÁLCULOS!G66</f>
        <v>35</v>
      </c>
      <c r="H34" s="95" t="n">
        <f aca="false">B34</f>
        <v>46036</v>
      </c>
      <c r="I34" s="25" t="str">
        <f aca="false">C34</f>
        <v>SEGUROS DE FÁBRICA</v>
      </c>
      <c r="J34" s="28" t="n">
        <f aca="false">J9</f>
        <v>6000</v>
      </c>
      <c r="K34" s="102" t="n">
        <f aca="false">L34/J34</f>
        <v>0.00875</v>
      </c>
      <c r="L34" s="30" t="n">
        <f aca="false">CÁLCULOS!H66</f>
        <v>52.5</v>
      </c>
      <c r="N34" s="95" t="n">
        <f aca="false">B34</f>
        <v>46036</v>
      </c>
      <c r="O34" s="25" t="str">
        <f aca="false">C34</f>
        <v>SEGUROS DE FÁBRICA</v>
      </c>
      <c r="P34" s="28" t="n">
        <f aca="false">P9</f>
        <v>5000</v>
      </c>
      <c r="Q34" s="102" t="n">
        <f aca="false">R34/P34</f>
        <v>0.00875</v>
      </c>
      <c r="R34" s="30" t="n">
        <f aca="false">CÁLCULOS!I66</f>
        <v>43.75</v>
      </c>
    </row>
    <row r="35" customFormat="false" ht="15.75" hidden="false" customHeight="false" outlineLevel="0" collapsed="false">
      <c r="B35" s="95" t="n">
        <f aca="false">'LIBRO DIARIO'!B43</f>
        <v>46036</v>
      </c>
      <c r="C35" s="25" t="str">
        <f aca="false">CÁLCULOS!B67</f>
        <v>DEPRECIACIÓN MAQUINARIA</v>
      </c>
      <c r="D35" s="28" t="n">
        <f aca="false">D9</f>
        <v>4000</v>
      </c>
      <c r="E35" s="102" t="n">
        <f aca="false">F35/D35</f>
        <v>0.0145833333333333</v>
      </c>
      <c r="F35" s="30" t="n">
        <f aca="false">CÁLCULOS!G67</f>
        <v>58.3333333333333</v>
      </c>
      <c r="H35" s="95" t="n">
        <f aca="false">B35</f>
        <v>46036</v>
      </c>
      <c r="I35" s="25" t="str">
        <f aca="false">C35</f>
        <v>DEPRECIACIÓN MAQUINARIA</v>
      </c>
      <c r="J35" s="28" t="n">
        <f aca="false">J9</f>
        <v>6000</v>
      </c>
      <c r="K35" s="102" t="n">
        <f aca="false">L35/J35</f>
        <v>0.0145833333333333</v>
      </c>
      <c r="L35" s="30" t="n">
        <f aca="false">CÁLCULOS!H67</f>
        <v>87.5</v>
      </c>
      <c r="N35" s="95" t="n">
        <f aca="false">B35</f>
        <v>46036</v>
      </c>
      <c r="O35" s="25" t="str">
        <f aca="false">C35</f>
        <v>DEPRECIACIÓN MAQUINARIA</v>
      </c>
      <c r="P35" s="28" t="n">
        <f aca="false">P9</f>
        <v>5000</v>
      </c>
      <c r="Q35" s="102" t="n">
        <f aca="false">R35/P35</f>
        <v>0.0145833333333333</v>
      </c>
      <c r="R35" s="30" t="n">
        <f aca="false">CÁLCULOS!I67</f>
        <v>72.9166666666667</v>
      </c>
    </row>
    <row r="36" customFormat="false" ht="15.75" hidden="false" customHeight="false" outlineLevel="0" collapsed="false">
      <c r="B36" s="92"/>
      <c r="C36" s="23"/>
      <c r="D36" s="23"/>
      <c r="E36" s="103" t="s">
        <v>192</v>
      </c>
      <c r="F36" s="104" t="n">
        <f aca="false">SUM(F29:F35)</f>
        <v>467.85653125</v>
      </c>
      <c r="H36" s="92"/>
      <c r="I36" s="23"/>
      <c r="J36" s="23"/>
      <c r="K36" s="103" t="s">
        <v>192</v>
      </c>
      <c r="L36" s="104" t="n">
        <f aca="false">SUM(L29:L35)</f>
        <v>731.137116666667</v>
      </c>
      <c r="N36" s="92"/>
      <c r="O36" s="23"/>
      <c r="P36" s="23"/>
      <c r="Q36" s="103" t="s">
        <v>192</v>
      </c>
      <c r="R36" s="104" t="n">
        <f aca="false">SUM(R29:R35)</f>
        <v>629.84914375</v>
      </c>
    </row>
    <row r="37" customFormat="false" ht="15.75" hidden="false" customHeight="false" outlineLevel="0" collapsed="false">
      <c r="B37" s="92"/>
      <c r="C37" s="23"/>
      <c r="D37" s="23"/>
      <c r="E37" s="23"/>
      <c r="F37" s="93"/>
      <c r="H37" s="92"/>
      <c r="I37" s="23"/>
      <c r="J37" s="23"/>
      <c r="K37" s="23"/>
      <c r="L37" s="93"/>
      <c r="N37" s="92"/>
      <c r="O37" s="23"/>
      <c r="P37" s="23"/>
      <c r="Q37" s="23"/>
      <c r="R37" s="93"/>
    </row>
    <row r="38" customFormat="false" ht="15.75" hidden="false" customHeight="false" outlineLevel="0" collapsed="false">
      <c r="B38" s="92"/>
      <c r="C38" s="28" t="s">
        <v>198</v>
      </c>
      <c r="D38" s="28"/>
      <c r="E38" s="28"/>
      <c r="F38" s="105" t="n">
        <f aca="false">F19+F25+F36</f>
        <v>21498.6950487691</v>
      </c>
      <c r="H38" s="92"/>
      <c r="I38" s="28" t="s">
        <v>198</v>
      </c>
      <c r="J38" s="28"/>
      <c r="K38" s="28"/>
      <c r="L38" s="105" t="n">
        <f aca="false">L19+L25+L36</f>
        <v>35215.8090290204</v>
      </c>
      <c r="N38" s="92"/>
      <c r="O38" s="28" t="s">
        <v>198</v>
      </c>
      <c r="P38" s="28"/>
      <c r="Q38" s="28"/>
      <c r="R38" s="105" t="n">
        <f aca="false">R19+R25+R36</f>
        <v>34040.5017570865</v>
      </c>
    </row>
    <row r="39" customFormat="false" ht="15.75" hidden="false" customHeight="false" outlineLevel="0" collapsed="false">
      <c r="B39" s="92"/>
      <c r="C39" s="28" t="s">
        <v>199</v>
      </c>
      <c r="D39" s="28"/>
      <c r="E39" s="28"/>
      <c r="F39" s="106" t="n">
        <f aca="false">D9</f>
        <v>4000</v>
      </c>
      <c r="H39" s="92"/>
      <c r="I39" s="28" t="s">
        <v>199</v>
      </c>
      <c r="J39" s="28"/>
      <c r="K39" s="28"/>
      <c r="L39" s="106" t="n">
        <f aca="false">J9</f>
        <v>6000</v>
      </c>
      <c r="N39" s="92"/>
      <c r="O39" s="28" t="s">
        <v>199</v>
      </c>
      <c r="P39" s="28"/>
      <c r="Q39" s="28"/>
      <c r="R39" s="106" t="n">
        <f aca="false">P9</f>
        <v>5000</v>
      </c>
    </row>
    <row r="40" customFormat="false" ht="15.75" hidden="false" customHeight="false" outlineLevel="0" collapsed="false">
      <c r="B40" s="92"/>
      <c r="C40" s="28" t="s">
        <v>200</v>
      </c>
      <c r="D40" s="28"/>
      <c r="E40" s="28"/>
      <c r="F40" s="107" t="n">
        <f aca="false">F38/F39</f>
        <v>5.37467376219228</v>
      </c>
      <c r="H40" s="92"/>
      <c r="I40" s="28" t="s">
        <v>200</v>
      </c>
      <c r="J40" s="28"/>
      <c r="K40" s="28"/>
      <c r="L40" s="107" t="n">
        <f aca="false">L38/L39</f>
        <v>5.86930150483673</v>
      </c>
      <c r="N40" s="92"/>
      <c r="O40" s="28" t="s">
        <v>200</v>
      </c>
      <c r="P40" s="28"/>
      <c r="Q40" s="28"/>
      <c r="R40" s="108" t="n">
        <f aca="false">R38/R39</f>
        <v>6.80810035141729</v>
      </c>
    </row>
    <row r="41" customFormat="false" ht="15.75" hidden="false" customHeight="false" outlineLevel="0" collapsed="false">
      <c r="B41" s="109"/>
      <c r="C41" s="110"/>
      <c r="D41" s="110"/>
      <c r="E41" s="110"/>
      <c r="F41" s="111"/>
      <c r="H41" s="109"/>
      <c r="I41" s="110"/>
      <c r="J41" s="110"/>
      <c r="K41" s="110"/>
      <c r="L41" s="111"/>
      <c r="N41" s="109"/>
      <c r="O41" s="110"/>
      <c r="P41" s="110"/>
      <c r="Q41" s="110"/>
      <c r="R41" s="111"/>
    </row>
    <row r="42" customFormat="false" ht="15.75" hidden="false" customHeight="false" outlineLevel="0" collapsed="false">
      <c r="B42" s="23"/>
      <c r="C42" s="23"/>
      <c r="D42" s="23"/>
      <c r="E42" s="23"/>
      <c r="F42" s="23"/>
    </row>
    <row r="43" customFormat="false" ht="15.75" hidden="false" customHeight="false" outlineLevel="0" collapsed="false">
      <c r="B43" s="23"/>
      <c r="C43" s="23"/>
      <c r="D43" s="23"/>
      <c r="E43" s="23"/>
      <c r="F43" s="23"/>
    </row>
    <row r="44" customFormat="false" ht="15.75" hidden="false" customHeight="true" outlineLevel="0" collapsed="false">
      <c r="B44" s="88" t="s">
        <v>178</v>
      </c>
      <c r="C44" s="88"/>
      <c r="D44" s="88"/>
      <c r="E44" s="88"/>
      <c r="F44" s="88"/>
    </row>
    <row r="45" customFormat="false" ht="15.75" hidden="false" customHeight="false" outlineLevel="0" collapsed="false">
      <c r="B45" s="89" t="s">
        <v>179</v>
      </c>
      <c r="C45" s="89"/>
      <c r="D45" s="89"/>
      <c r="E45" s="89"/>
      <c r="F45" s="89"/>
    </row>
    <row r="46" customFormat="false" ht="15.75" hidden="false" customHeight="false" outlineLevel="0" collapsed="false">
      <c r="B46" s="90" t="s">
        <v>180</v>
      </c>
      <c r="C46" s="90"/>
      <c r="D46" s="89" t="n">
        <v>11</v>
      </c>
      <c r="E46" s="89"/>
      <c r="F46" s="89"/>
    </row>
    <row r="47" customFormat="false" ht="15.75" hidden="false" customHeight="false" outlineLevel="0" collapsed="false">
      <c r="B47" s="90" t="s">
        <v>181</v>
      </c>
      <c r="C47" s="90"/>
      <c r="D47" s="89" t="n">
        <f aca="false">'ORDEN P'!G4</f>
        <v>101</v>
      </c>
      <c r="E47" s="89"/>
      <c r="F47" s="89"/>
    </row>
    <row r="48" customFormat="false" ht="15.75" hidden="false" customHeight="false" outlineLevel="0" collapsed="false">
      <c r="B48" s="90" t="s">
        <v>182</v>
      </c>
      <c r="C48" s="90"/>
      <c r="D48" s="89" t="str">
        <f aca="false">'ORDEN P'!G5</f>
        <v>TEXPAX</v>
      </c>
      <c r="E48" s="89"/>
      <c r="F48" s="89"/>
    </row>
    <row r="49" customFormat="false" ht="15.75" hidden="false" customHeight="false" outlineLevel="0" collapsed="false">
      <c r="B49" s="90" t="s">
        <v>184</v>
      </c>
      <c r="C49" s="90"/>
      <c r="D49" s="89" t="str">
        <f aca="false">'ORDEN P'!G10</f>
        <v>CAMISETA S</v>
      </c>
      <c r="E49" s="89"/>
      <c r="F49" s="89"/>
    </row>
    <row r="50" customFormat="false" ht="15.75" hidden="false" customHeight="false" outlineLevel="0" collapsed="false">
      <c r="B50" s="90" t="s">
        <v>185</v>
      </c>
      <c r="C50" s="90"/>
      <c r="D50" s="89" t="n">
        <f aca="false">'ORDEN P'!F10</f>
        <v>5000</v>
      </c>
      <c r="E50" s="89"/>
      <c r="F50" s="89"/>
    </row>
    <row r="51" customFormat="false" ht="15.75" hidden="false" customHeight="false" outlineLevel="0" collapsed="false">
      <c r="B51" s="90" t="s">
        <v>186</v>
      </c>
      <c r="C51" s="90"/>
      <c r="D51" s="91" t="n">
        <f aca="false">'ORDEN P'!G6</f>
        <v>46037</v>
      </c>
      <c r="E51" s="91"/>
      <c r="F51" s="91"/>
    </row>
    <row r="52" customFormat="false" ht="15.75" hidden="false" customHeight="false" outlineLevel="0" collapsed="false">
      <c r="B52" s="90" t="s">
        <v>187</v>
      </c>
      <c r="C52" s="90"/>
      <c r="D52" s="91" t="n">
        <f aca="false">'LIBRO DIARIO'!B158</f>
        <v>46050</v>
      </c>
      <c r="E52" s="91"/>
      <c r="F52" s="91"/>
    </row>
    <row r="54" customFormat="false" ht="15.75" hidden="false" customHeight="true" outlineLevel="0" collapsed="false">
      <c r="B54" s="94" t="s">
        <v>188</v>
      </c>
      <c r="C54" s="94"/>
      <c r="D54" s="94"/>
      <c r="E54" s="94"/>
      <c r="F54" s="94"/>
    </row>
    <row r="55" customFormat="false" ht="15.75" hidden="false" customHeight="false" outlineLevel="0" collapsed="false">
      <c r="B55" s="28" t="s">
        <v>189</v>
      </c>
      <c r="C55" s="28" t="s">
        <v>45</v>
      </c>
      <c r="D55" s="28" t="s">
        <v>26</v>
      </c>
      <c r="E55" s="28" t="s">
        <v>190</v>
      </c>
      <c r="F55" s="28" t="s">
        <v>191</v>
      </c>
    </row>
    <row r="56" customFormat="false" ht="15.75" hidden="false" customHeight="false" outlineLevel="0" collapsed="false">
      <c r="B56" s="95" t="n">
        <f aca="false">KARDEX!B15</f>
        <v>46037</v>
      </c>
      <c r="C56" s="90" t="str">
        <f aca="false">KARDEX!C5</f>
        <v>TELA PIQUET</v>
      </c>
      <c r="D56" s="28" t="n">
        <f aca="false">$D$50</f>
        <v>5000</v>
      </c>
      <c r="E56" s="39" t="n">
        <f aca="false">F56/D56</f>
        <v>3.9650076524438</v>
      </c>
      <c r="F56" s="96" t="n">
        <f aca="false">KARDEX!I15</f>
        <v>19825.038262219</v>
      </c>
    </row>
    <row r="57" customFormat="false" ht="15.75" hidden="false" customHeight="false" outlineLevel="0" collapsed="false">
      <c r="B57" s="95" t="n">
        <f aca="false">KARDEX!B31</f>
        <v>46037</v>
      </c>
      <c r="C57" s="90" t="str">
        <f aca="false">KARDEX!C21</f>
        <v>CUELLOS</v>
      </c>
      <c r="D57" s="28" t="n">
        <f aca="false">$D$50</f>
        <v>5000</v>
      </c>
      <c r="E57" s="39" t="n">
        <f aca="false">F57/D57</f>
        <v>0.590659340659341</v>
      </c>
      <c r="F57" s="96" t="n">
        <f aca="false">KARDEX!I31</f>
        <v>2953.2967032967</v>
      </c>
    </row>
    <row r="58" customFormat="false" ht="15.75" hidden="false" customHeight="false" outlineLevel="0" collapsed="false">
      <c r="B58" s="95" t="n">
        <f aca="false">KARDEX!B47</f>
        <v>46037</v>
      </c>
      <c r="C58" s="90" t="str">
        <f aca="false">KARDEX!C37</f>
        <v>PUÑOS</v>
      </c>
      <c r="D58" s="28" t="n">
        <f aca="false">$D$50</f>
        <v>5000</v>
      </c>
      <c r="E58" s="39" t="n">
        <f aca="false">F58/D58</f>
        <v>0.472747252747253</v>
      </c>
      <c r="F58" s="96" t="n">
        <f aca="false">KARDEX!I47</f>
        <v>2363.73626373626</v>
      </c>
    </row>
    <row r="59" customFormat="false" ht="15.75" hidden="false" customHeight="false" outlineLevel="0" collapsed="false">
      <c r="B59" s="95" t="n">
        <f aca="false">KARDEX!B63</f>
        <v>46037</v>
      </c>
      <c r="C59" s="90" t="str">
        <f aca="false">KARDEX!C53</f>
        <v>BOTÓN</v>
      </c>
      <c r="D59" s="28" t="n">
        <f aca="false">$D$50</f>
        <v>5000</v>
      </c>
      <c r="E59" s="39" t="n">
        <f aca="false">F59/D59</f>
        <v>0.116263736263736</v>
      </c>
      <c r="F59" s="96" t="n">
        <f aca="false">KARDEX!I63</f>
        <v>581.318681318681</v>
      </c>
    </row>
    <row r="60" customFormat="false" ht="15.75" hidden="false" customHeight="false" outlineLevel="0" collapsed="false">
      <c r="B60" s="112"/>
      <c r="C60" s="112"/>
      <c r="D60" s="112"/>
      <c r="E60" s="97" t="s">
        <v>192</v>
      </c>
      <c r="F60" s="98" t="n">
        <f aca="false">SUM(F56:F59)</f>
        <v>25723.3899105707</v>
      </c>
    </row>
    <row r="62" customFormat="false" ht="15.75" hidden="false" customHeight="false" outlineLevel="0" collapsed="false">
      <c r="B62" s="99" t="s">
        <v>68</v>
      </c>
      <c r="C62" s="99"/>
      <c r="D62" s="99"/>
      <c r="E62" s="99"/>
      <c r="F62" s="99"/>
    </row>
    <row r="63" customFormat="false" ht="15.75" hidden="false" customHeight="false" outlineLevel="0" collapsed="false">
      <c r="B63" s="28" t="s">
        <v>189</v>
      </c>
      <c r="C63" s="28" t="s">
        <v>45</v>
      </c>
      <c r="D63" s="28" t="s">
        <v>26</v>
      </c>
      <c r="E63" s="28" t="s">
        <v>190</v>
      </c>
      <c r="F63" s="28" t="s">
        <v>191</v>
      </c>
    </row>
    <row r="64" customFormat="false" ht="15.75" hidden="false" customHeight="false" outlineLevel="0" collapsed="false">
      <c r="B64" s="95" t="n">
        <f aca="false">'LIBRO DIARIO'!B110</f>
        <v>46038</v>
      </c>
      <c r="C64" s="90" t="s">
        <v>201</v>
      </c>
      <c r="D64" s="28" t="n">
        <f aca="false">$D$50</f>
        <v>5000</v>
      </c>
      <c r="E64" s="39" t="n">
        <f aca="false">F64/D64</f>
        <v>0.111965436875</v>
      </c>
      <c r="F64" s="96" t="n">
        <f aca="false">'LIBRO DIARIO'!G123*25%</f>
        <v>559.827184375</v>
      </c>
    </row>
    <row r="65" customFormat="false" ht="15.75" hidden="false" customHeight="false" outlineLevel="0" collapsed="false">
      <c r="B65" s="95" t="n">
        <f aca="false">'LIBRO DIARIO'!B126</f>
        <v>46045</v>
      </c>
      <c r="C65" s="90" t="s">
        <v>202</v>
      </c>
      <c r="D65" s="28" t="n">
        <f aca="false">$D$50</f>
        <v>5000</v>
      </c>
      <c r="E65" s="39" t="n">
        <f aca="false">F65/D65</f>
        <v>0.2799135921875</v>
      </c>
      <c r="F65" s="96" t="n">
        <f aca="false">'LIBRO DIARIO'!G139*25%</f>
        <v>1399.5679609375</v>
      </c>
    </row>
    <row r="66" customFormat="false" ht="15.75" hidden="false" customHeight="false" outlineLevel="0" collapsed="false">
      <c r="B66" s="95" t="n">
        <f aca="false">'LIBRO DIARIO'!B142</f>
        <v>46050</v>
      </c>
      <c r="C66" s="90" t="s">
        <v>203</v>
      </c>
      <c r="D66" s="28" t="n">
        <f aca="false">$D$50</f>
        <v>5000</v>
      </c>
      <c r="E66" s="39" t="n">
        <f aca="false">F66/D66</f>
        <v>0.1679481553125</v>
      </c>
      <c r="F66" s="96" t="n">
        <f aca="false">'LIBRO DIARIO'!G155*25%</f>
        <v>839.7407765625</v>
      </c>
    </row>
    <row r="67" customFormat="false" ht="15.75" hidden="false" customHeight="false" outlineLevel="0" collapsed="false">
      <c r="B67" s="113"/>
      <c r="C67" s="113"/>
      <c r="D67" s="113"/>
      <c r="E67" s="37" t="s">
        <v>192</v>
      </c>
      <c r="F67" s="100" t="n">
        <f aca="false">SUM(F64:F66)</f>
        <v>2799.135921875</v>
      </c>
    </row>
    <row r="69" customFormat="false" ht="15.75" hidden="false" customHeight="false" outlineLevel="0" collapsed="false">
      <c r="B69" s="101" t="s">
        <v>196</v>
      </c>
      <c r="C69" s="101"/>
      <c r="D69" s="101"/>
      <c r="E69" s="101"/>
      <c r="F69" s="101"/>
    </row>
    <row r="70" customFormat="false" ht="15.75" hidden="false" customHeight="false" outlineLevel="0" collapsed="false">
      <c r="B70" s="28" t="s">
        <v>189</v>
      </c>
      <c r="C70" s="28" t="s">
        <v>45</v>
      </c>
      <c r="D70" s="28" t="s">
        <v>26</v>
      </c>
      <c r="E70" s="28" t="s">
        <v>190</v>
      </c>
      <c r="F70" s="28" t="s">
        <v>191</v>
      </c>
    </row>
    <row r="71" customFormat="false" ht="15.75" hidden="false" customHeight="false" outlineLevel="0" collapsed="false">
      <c r="B71" s="95" t="n">
        <f aca="false">KARDEX!B79</f>
        <v>46037</v>
      </c>
      <c r="C71" s="90" t="str">
        <f aca="false">KARDEX!C69</f>
        <v>HILO</v>
      </c>
      <c r="D71" s="28" t="n">
        <f aca="false">$D$50</f>
        <v>5000</v>
      </c>
      <c r="E71" s="39" t="n">
        <f aca="false">F71/D71</f>
        <v>0.004</v>
      </c>
      <c r="F71" s="96" t="n">
        <f aca="false">KARDEX!I79</f>
        <v>20</v>
      </c>
    </row>
    <row r="72" customFormat="false" ht="15.75" hidden="false" customHeight="false" outlineLevel="0" collapsed="false">
      <c r="B72" s="95" t="n">
        <f aca="false">'LIBRO DIARIO'!B110</f>
        <v>46038</v>
      </c>
      <c r="C72" s="90" t="s">
        <v>197</v>
      </c>
      <c r="D72" s="28" t="n">
        <f aca="false">$D$50</f>
        <v>5000</v>
      </c>
      <c r="E72" s="39" t="n">
        <f aca="false">F72/D72</f>
        <v>0.0116761598958333</v>
      </c>
      <c r="F72" s="96" t="n">
        <f aca="false">'LIBRO DIARIO'!F112*25%</f>
        <v>58.3807994791667</v>
      </c>
    </row>
    <row r="73" customFormat="false" ht="15.75" hidden="false" customHeight="false" outlineLevel="0" collapsed="false">
      <c r="B73" s="95" t="n">
        <f aca="false">'LIBRO DIARIO'!B126</f>
        <v>46045</v>
      </c>
      <c r="C73" s="90" t="s">
        <v>197</v>
      </c>
      <c r="D73" s="28" t="n">
        <f aca="false">$D$50</f>
        <v>5000</v>
      </c>
      <c r="E73" s="39" t="n">
        <f aca="false">F73/D73</f>
        <v>0.0291903997395833</v>
      </c>
      <c r="F73" s="96" t="n">
        <f aca="false">'LIBRO DIARIO'!F128*25%</f>
        <v>145.951998697917</v>
      </c>
    </row>
    <row r="74" customFormat="false" ht="15.75" hidden="false" customHeight="false" outlineLevel="0" collapsed="false">
      <c r="B74" s="95" t="n">
        <f aca="false">'LIBRO DIARIO'!B142</f>
        <v>46050</v>
      </c>
      <c r="C74" s="90" t="s">
        <v>197</v>
      </c>
      <c r="D74" s="28" t="n">
        <f aca="false">$D$50</f>
        <v>5000</v>
      </c>
      <c r="E74" s="39" t="n">
        <f aca="false">F74/D74</f>
        <v>0.01751423984375</v>
      </c>
      <c r="F74" s="96" t="n">
        <f aca="false">'LIBRO DIARIO'!F144*25%</f>
        <v>87.57119921875</v>
      </c>
    </row>
    <row r="75" customFormat="false" ht="15.75" hidden="false" customHeight="false" outlineLevel="0" collapsed="false">
      <c r="B75" s="95" t="n">
        <f aca="false">'LIBRO DIARIO'!B158</f>
        <v>46050</v>
      </c>
      <c r="C75" s="90" t="str">
        <f aca="false">CÁLCULOS!B141</f>
        <v>ENERGÍA ELÉCTRICA</v>
      </c>
      <c r="D75" s="28" t="n">
        <f aca="false">$D$50</f>
        <v>5000</v>
      </c>
      <c r="E75" s="39" t="n">
        <f aca="false">F75/D75</f>
        <v>0.0125</v>
      </c>
      <c r="F75" s="96" t="n">
        <f aca="false">CÁLCULOS!G141</f>
        <v>62.5</v>
      </c>
    </row>
    <row r="76" customFormat="false" ht="15.75" hidden="false" customHeight="false" outlineLevel="0" collapsed="false">
      <c r="B76" s="95" t="n">
        <f aca="false">'LIBRO DIARIO'!B158</f>
        <v>46050</v>
      </c>
      <c r="C76" s="90" t="str">
        <f aca="false">CÁLCULOS!B142</f>
        <v>MANTENIMIENTO </v>
      </c>
      <c r="D76" s="28" t="n">
        <f aca="false">$D$50</f>
        <v>5000</v>
      </c>
      <c r="E76" s="39" t="n">
        <f aca="false">F76/D76</f>
        <v>0.01875</v>
      </c>
      <c r="F76" s="96" t="n">
        <f aca="false">CÁLCULOS!G142</f>
        <v>93.75</v>
      </c>
    </row>
    <row r="77" customFormat="false" ht="15.75" hidden="false" customHeight="false" outlineLevel="0" collapsed="false">
      <c r="B77" s="95" t="n">
        <f aca="false">'LIBRO DIARIO'!B158</f>
        <v>46050</v>
      </c>
      <c r="C77" s="90" t="str">
        <f aca="false">CÁLCULOS!B143</f>
        <v>SEGUROS DE FÁBRICA</v>
      </c>
      <c r="D77" s="28" t="n">
        <f aca="false">$D$50</f>
        <v>5000</v>
      </c>
      <c r="E77" s="39" t="n">
        <f aca="false">F77/D77</f>
        <v>0.00875</v>
      </c>
      <c r="F77" s="96" t="n">
        <f aca="false">CÁLCULOS!G143</f>
        <v>43.75</v>
      </c>
    </row>
    <row r="78" customFormat="false" ht="15.75" hidden="false" customHeight="false" outlineLevel="0" collapsed="false">
      <c r="B78" s="95" t="n">
        <f aca="false">'LIBRO DIARIO'!B158</f>
        <v>46050</v>
      </c>
      <c r="C78" s="90" t="str">
        <f aca="false">CÁLCULOS!B144</f>
        <v>DEPRECIACIÓN MAQUINARIA</v>
      </c>
      <c r="D78" s="28" t="n">
        <f aca="false">$D$50</f>
        <v>5000</v>
      </c>
      <c r="E78" s="39" t="n">
        <f aca="false">F78/D78</f>
        <v>0.0145833333333333</v>
      </c>
      <c r="F78" s="96" t="n">
        <f aca="false">CÁLCULOS!G144</f>
        <v>72.9166666666667</v>
      </c>
    </row>
    <row r="79" customFormat="false" ht="15.75" hidden="false" customHeight="false" outlineLevel="0" collapsed="false">
      <c r="B79" s="114"/>
      <c r="C79" s="114"/>
      <c r="D79" s="114"/>
      <c r="E79" s="103" t="s">
        <v>192</v>
      </c>
      <c r="F79" s="104" t="n">
        <f aca="false">SUM(F71:F78)</f>
        <v>584.8206640625</v>
      </c>
    </row>
    <row r="81" customFormat="false" ht="15.75" hidden="false" customHeight="false" outlineLevel="0" collapsed="false">
      <c r="C81" s="28" t="s">
        <v>198</v>
      </c>
      <c r="D81" s="28"/>
      <c r="E81" s="28"/>
      <c r="F81" s="105" t="n">
        <f aca="false">F60+F67+F79</f>
        <v>29107.3464965082</v>
      </c>
    </row>
    <row r="82" customFormat="false" ht="15.75" hidden="false" customHeight="false" outlineLevel="0" collapsed="false">
      <c r="C82" s="28" t="s">
        <v>199</v>
      </c>
      <c r="D82" s="28"/>
      <c r="E82" s="28"/>
      <c r="F82" s="106" t="n">
        <f aca="false">$D$50</f>
        <v>5000</v>
      </c>
    </row>
    <row r="83" customFormat="false" ht="15.75" hidden="false" customHeight="false" outlineLevel="0" collapsed="false">
      <c r="C83" s="28" t="s">
        <v>200</v>
      </c>
      <c r="D83" s="28"/>
      <c r="E83" s="28"/>
      <c r="F83" s="107" t="n">
        <f aca="false">F81/F82</f>
        <v>5.82146929930163</v>
      </c>
    </row>
  </sheetData>
  <mergeCells count="88">
    <mergeCell ref="B3:F3"/>
    <mergeCell ref="H3:L3"/>
    <mergeCell ref="N3:R3"/>
    <mergeCell ref="B4:F4"/>
    <mergeCell ref="H4:L4"/>
    <mergeCell ref="N4:R4"/>
    <mergeCell ref="B5:C5"/>
    <mergeCell ref="D5:F5"/>
    <mergeCell ref="H5:I5"/>
    <mergeCell ref="J5:L5"/>
    <mergeCell ref="N5:O5"/>
    <mergeCell ref="P5:R5"/>
    <mergeCell ref="B6:C6"/>
    <mergeCell ref="D6:F6"/>
    <mergeCell ref="H6:I6"/>
    <mergeCell ref="J6:L6"/>
    <mergeCell ref="N6:O6"/>
    <mergeCell ref="P6:R6"/>
    <mergeCell ref="B7:C7"/>
    <mergeCell ref="D7:F7"/>
    <mergeCell ref="H7:I7"/>
    <mergeCell ref="J7:L7"/>
    <mergeCell ref="N7:O7"/>
    <mergeCell ref="P7:R7"/>
    <mergeCell ref="B8:C8"/>
    <mergeCell ref="D8:F8"/>
    <mergeCell ref="H8:I8"/>
    <mergeCell ref="J8:L8"/>
    <mergeCell ref="N8:O8"/>
    <mergeCell ref="P8:R8"/>
    <mergeCell ref="B9:C9"/>
    <mergeCell ref="D9:F9"/>
    <mergeCell ref="H9:I9"/>
    <mergeCell ref="J9:L9"/>
    <mergeCell ref="N9:O9"/>
    <mergeCell ref="P9:R9"/>
    <mergeCell ref="B10:C10"/>
    <mergeCell ref="D10:F10"/>
    <mergeCell ref="H10:I10"/>
    <mergeCell ref="J10:L10"/>
    <mergeCell ref="N10:O10"/>
    <mergeCell ref="P10:R10"/>
    <mergeCell ref="B11:C11"/>
    <mergeCell ref="D11:F11"/>
    <mergeCell ref="H11:I11"/>
    <mergeCell ref="J11:L11"/>
    <mergeCell ref="N11:O11"/>
    <mergeCell ref="P11:R11"/>
    <mergeCell ref="B13:F13"/>
    <mergeCell ref="H13:L13"/>
    <mergeCell ref="N13:R13"/>
    <mergeCell ref="B21:F21"/>
    <mergeCell ref="H21:L21"/>
    <mergeCell ref="N21:R21"/>
    <mergeCell ref="B27:F27"/>
    <mergeCell ref="H27:L27"/>
    <mergeCell ref="N27:R27"/>
    <mergeCell ref="C38:E38"/>
    <mergeCell ref="I38:K38"/>
    <mergeCell ref="O38:Q38"/>
    <mergeCell ref="C39:E39"/>
    <mergeCell ref="I39:K39"/>
    <mergeCell ref="O39:Q39"/>
    <mergeCell ref="C40:E40"/>
    <mergeCell ref="I40:K40"/>
    <mergeCell ref="O40:Q40"/>
    <mergeCell ref="B44:F44"/>
    <mergeCell ref="B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4:F54"/>
    <mergeCell ref="B62:F62"/>
    <mergeCell ref="B69:F69"/>
    <mergeCell ref="C81:E81"/>
    <mergeCell ref="C82:E82"/>
    <mergeCell ref="C83:E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2"/>
  <sheetViews>
    <sheetView showFormulas="false" showGridLines="true" showRowColHeaders="true" showZeros="true" rightToLeft="false" tabSelected="false" showOutlineSymbols="true" defaultGridColor="true" view="normal" topLeftCell="A57" colorId="64" zoomScale="94" zoomScaleNormal="94" zoomScalePageLayoutView="100" workbookViewId="0">
      <selection pane="topLeft" activeCell="J78" activeCellId="0" sqref="J78"/>
    </sheetView>
  </sheetViews>
  <sheetFormatPr defaultColWidth="10.62109375" defaultRowHeight="15.75" zeroHeight="false" outlineLevelRow="0" outlineLevelCol="0"/>
  <cols>
    <col collapsed="false" customWidth="true" hidden="false" outlineLevel="0" max="3" min="3" style="1" width="40.83"/>
    <col collapsed="false" customWidth="true" hidden="false" outlineLevel="0" max="4" min="4" style="1" width="8.66"/>
    <col collapsed="false" customWidth="true" hidden="false" outlineLevel="0" max="5" min="5" style="1" width="10.83"/>
    <col collapsed="false" customWidth="true" hidden="false" outlineLevel="0" max="6" min="6" style="1" width="16.83"/>
    <col collapsed="false" customWidth="true" hidden="false" outlineLevel="0" max="7" min="7" style="1" width="7.82"/>
    <col collapsed="false" customWidth="true" hidden="false" outlineLevel="0" max="8" min="8" style="1" width="10.83"/>
    <col collapsed="false" customWidth="true" hidden="false" outlineLevel="0" max="9" min="9" style="1" width="16.83"/>
    <col collapsed="false" customWidth="true" hidden="false" outlineLevel="0" max="10" min="10" style="1" width="8.17"/>
    <col collapsed="false" customWidth="true" hidden="false" outlineLevel="0" max="11" min="11" style="1" width="10.83"/>
    <col collapsed="false" customWidth="true" hidden="false" outlineLevel="0" max="12" min="12" style="1" width="16.83"/>
  </cols>
  <sheetData>
    <row r="2" customFormat="false" ht="15.75" hidden="false" customHeight="false" outlineLevel="0" collapsed="false">
      <c r="B2" s="22" t="s">
        <v>41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15.75" hidden="false" customHeight="false" outlineLevel="0" collapsed="false">
      <c r="B3" s="22" t="s">
        <v>204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15.75" hidden="false" customHeight="false" outlineLevel="0" collapsed="false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customFormat="false" ht="15.75" hidden="false" customHeight="false" outlineLevel="0" collapsed="false">
      <c r="B5" s="23" t="s">
        <v>205</v>
      </c>
      <c r="C5" s="23" t="s">
        <v>206</v>
      </c>
      <c r="D5" s="23"/>
      <c r="E5" s="23"/>
      <c r="F5" s="23"/>
      <c r="G5" s="23"/>
      <c r="H5" s="23"/>
      <c r="I5" s="23"/>
      <c r="J5" s="23"/>
      <c r="K5" s="23"/>
      <c r="L5" s="23"/>
    </row>
    <row r="6" customFormat="false" ht="15.75" hidden="false" customHeight="false" outlineLevel="0" collapsed="false">
      <c r="B6" s="23" t="s">
        <v>207</v>
      </c>
      <c r="C6" s="23"/>
      <c r="D6" s="23"/>
      <c r="E6" s="23"/>
      <c r="F6" s="23" t="s">
        <v>208</v>
      </c>
      <c r="G6" s="23"/>
      <c r="H6" s="23" t="s">
        <v>209</v>
      </c>
      <c r="I6" s="23"/>
      <c r="J6" s="23"/>
      <c r="K6" s="23" t="s">
        <v>210</v>
      </c>
      <c r="L6" s="23" t="n">
        <v>1</v>
      </c>
    </row>
    <row r="7" customFormat="false" ht="15.75" hidden="false" customHeight="false" outlineLevel="0" collapsed="false">
      <c r="B7" s="23"/>
      <c r="C7" s="23"/>
      <c r="D7" s="28" t="s">
        <v>211</v>
      </c>
      <c r="E7" s="28"/>
      <c r="F7" s="28"/>
      <c r="G7" s="28" t="s">
        <v>212</v>
      </c>
      <c r="H7" s="28"/>
      <c r="I7" s="28"/>
      <c r="J7" s="28" t="s">
        <v>213</v>
      </c>
      <c r="K7" s="28"/>
      <c r="L7" s="28"/>
    </row>
    <row r="8" customFormat="false" ht="15.75" hidden="false" customHeight="false" outlineLevel="0" collapsed="false">
      <c r="B8" s="37" t="s">
        <v>44</v>
      </c>
      <c r="C8" s="37" t="s">
        <v>45</v>
      </c>
      <c r="D8" s="115" t="s">
        <v>214</v>
      </c>
      <c r="E8" s="106" t="s">
        <v>215</v>
      </c>
      <c r="F8" s="106" t="s">
        <v>191</v>
      </c>
      <c r="G8" s="116" t="s">
        <v>214</v>
      </c>
      <c r="H8" s="117" t="s">
        <v>215</v>
      </c>
      <c r="I8" s="117" t="s">
        <v>191</v>
      </c>
      <c r="J8" s="103" t="s">
        <v>214</v>
      </c>
      <c r="K8" s="118" t="s">
        <v>215</v>
      </c>
      <c r="L8" s="118" t="s">
        <v>191</v>
      </c>
    </row>
    <row r="9" customFormat="false" ht="15.75" hidden="false" customHeight="false" outlineLevel="0" collapsed="false">
      <c r="B9" s="27" t="n">
        <f aca="false">'LIBRO DIARIO'!B7</f>
        <v>46027</v>
      </c>
      <c r="C9" s="25" t="s">
        <v>216</v>
      </c>
      <c r="D9" s="25" t="n">
        <v>4500</v>
      </c>
      <c r="E9" s="30" t="n">
        <v>4.2</v>
      </c>
      <c r="F9" s="39" t="n">
        <f aca="false">D9*E9</f>
        <v>18900</v>
      </c>
      <c r="G9" s="25"/>
      <c r="H9" s="25"/>
      <c r="I9" s="25"/>
      <c r="J9" s="25" t="n">
        <f aca="false">D9-G9</f>
        <v>4500</v>
      </c>
      <c r="K9" s="39" t="n">
        <f aca="false">L9/J9</f>
        <v>4.2</v>
      </c>
      <c r="L9" s="39" t="n">
        <f aca="false">F9-I9</f>
        <v>18900</v>
      </c>
    </row>
    <row r="10" customFormat="false" ht="15.75" hidden="false" customHeight="false" outlineLevel="0" collapsed="false">
      <c r="B10" s="27" t="n">
        <v>46027</v>
      </c>
      <c r="C10" s="25" t="s">
        <v>217</v>
      </c>
      <c r="D10" s="25" t="n">
        <f aca="false">CÁLCULOS!J9</f>
        <v>15216</v>
      </c>
      <c r="E10" s="34" t="n">
        <f aca="false">E9*1.1</f>
        <v>4.62</v>
      </c>
      <c r="F10" s="39" t="n">
        <f aca="false">D10*E10</f>
        <v>70297.92</v>
      </c>
      <c r="G10" s="25"/>
      <c r="H10" s="25"/>
      <c r="I10" s="25"/>
      <c r="J10" s="25" t="n">
        <f aca="false">J9+D10-G10</f>
        <v>19716</v>
      </c>
      <c r="K10" s="39" t="n">
        <f aca="false">L10/J10</f>
        <v>4.52413877054169</v>
      </c>
      <c r="L10" s="39" t="n">
        <f aca="false">L9+F10-I10</f>
        <v>89197.92</v>
      </c>
    </row>
    <row r="11" customFormat="false" ht="15.75" hidden="false" customHeight="false" outlineLevel="0" collapsed="false">
      <c r="B11" s="27" t="n">
        <v>46027</v>
      </c>
      <c r="C11" s="25" t="s">
        <v>218</v>
      </c>
      <c r="D11" s="25"/>
      <c r="E11" s="25"/>
      <c r="F11" s="25"/>
      <c r="G11" s="25" t="n">
        <f aca="false">CÁLCULOS!F5</f>
        <v>3200</v>
      </c>
      <c r="H11" s="39" t="n">
        <f aca="false">K10</f>
        <v>4.52413877054169</v>
      </c>
      <c r="I11" s="34" t="n">
        <f aca="false">G11*H11</f>
        <v>14477.2440657334</v>
      </c>
      <c r="J11" s="25" t="n">
        <f aca="false">J10+D11-G11</f>
        <v>16516</v>
      </c>
      <c r="K11" s="39" t="n">
        <f aca="false">L11/J11</f>
        <v>4.52413877054169</v>
      </c>
      <c r="L11" s="39" t="n">
        <f aca="false">L10+F11-I11</f>
        <v>74720.6759342666</v>
      </c>
    </row>
    <row r="12" customFormat="false" ht="15.75" hidden="false" customHeight="false" outlineLevel="0" collapsed="false">
      <c r="B12" s="27" t="n">
        <v>46027</v>
      </c>
      <c r="C12" s="25" t="s">
        <v>219</v>
      </c>
      <c r="D12" s="25"/>
      <c r="E12" s="25"/>
      <c r="F12" s="25"/>
      <c r="G12" s="25" t="n">
        <f aca="false">CÁLCULOS!F6</f>
        <v>5400</v>
      </c>
      <c r="H12" s="39" t="n">
        <f aca="false">K11</f>
        <v>4.52413877054169</v>
      </c>
      <c r="I12" s="34" t="n">
        <f aca="false">G12*H12</f>
        <v>24430.3493609251</v>
      </c>
      <c r="J12" s="25" t="n">
        <f aca="false">J11+D12-G12</f>
        <v>11116</v>
      </c>
      <c r="K12" s="39" t="n">
        <f aca="false">L12/J12</f>
        <v>4.52413877054169</v>
      </c>
      <c r="L12" s="39" t="n">
        <f aca="false">L11+F12-I12</f>
        <v>50290.3265733415</v>
      </c>
    </row>
    <row r="13" customFormat="false" ht="15.75" hidden="false" customHeight="false" outlineLevel="0" collapsed="false">
      <c r="B13" s="27" t="n">
        <v>46027</v>
      </c>
      <c r="C13" s="25" t="s">
        <v>220</v>
      </c>
      <c r="D13" s="25"/>
      <c r="E13" s="25"/>
      <c r="F13" s="25"/>
      <c r="G13" s="25" t="n">
        <f aca="false">CÁLCULOS!F7</f>
        <v>5500</v>
      </c>
      <c r="H13" s="39" t="n">
        <f aca="false">K12</f>
        <v>4.52413877054169</v>
      </c>
      <c r="I13" s="34" t="n">
        <f aca="false">G13*H13</f>
        <v>24882.7632379793</v>
      </c>
      <c r="J13" s="37" t="n">
        <f aca="false">J12+D13-G13</f>
        <v>5616</v>
      </c>
      <c r="K13" s="39" t="n">
        <f aca="false">L13/J13</f>
        <v>4.52413877054169</v>
      </c>
      <c r="L13" s="39" t="n">
        <f aca="false">L12+F13-I13</f>
        <v>25407.5633353621</v>
      </c>
    </row>
    <row r="14" customFormat="false" ht="15.75" hidden="false" customHeight="false" outlineLevel="0" collapsed="false">
      <c r="B14" s="27" t="n">
        <f aca="false">'LIBRO DIARIO'!B98</f>
        <v>46037</v>
      </c>
      <c r="C14" s="25" t="s">
        <v>221</v>
      </c>
      <c r="D14" s="25" t="n">
        <f aca="false">CÁLCULOS!E86</f>
        <v>19300</v>
      </c>
      <c r="E14" s="34" t="n">
        <f aca="false">E10*1.1</f>
        <v>5.082</v>
      </c>
      <c r="F14" s="39" t="n">
        <f aca="false">D14*E14</f>
        <v>98082.6</v>
      </c>
      <c r="G14" s="25"/>
      <c r="H14" s="39"/>
      <c r="I14" s="34"/>
      <c r="J14" s="25" t="n">
        <f aca="false">J13+D14-G14</f>
        <v>24916</v>
      </c>
      <c r="K14" s="39" t="n">
        <f aca="false">L14/J14</f>
        <v>4.95625956555475</v>
      </c>
      <c r="L14" s="39" t="n">
        <f aca="false">L13+F14-I14</f>
        <v>123490.163335362</v>
      </c>
    </row>
    <row r="15" customFormat="false" ht="15.75" hidden="false" customHeight="false" outlineLevel="0" collapsed="false">
      <c r="B15" s="27" t="n">
        <f aca="false">'LIBRO DIARIO'!B98</f>
        <v>46037</v>
      </c>
      <c r="C15" s="25" t="s">
        <v>222</v>
      </c>
      <c r="D15" s="25"/>
      <c r="E15" s="25"/>
      <c r="F15" s="25"/>
      <c r="G15" s="25" t="n">
        <f aca="false">CÁLCULOS!F82</f>
        <v>4000</v>
      </c>
      <c r="H15" s="39" t="n">
        <f aca="false">K14</f>
        <v>4.95625956555475</v>
      </c>
      <c r="I15" s="34" t="n">
        <f aca="false">G15*H15</f>
        <v>19825.038262219</v>
      </c>
      <c r="J15" s="25" t="n">
        <f aca="false">J14+D15-G15</f>
        <v>20916</v>
      </c>
      <c r="K15" s="39" t="n">
        <f aca="false">L15/J15</f>
        <v>4.95625956555475</v>
      </c>
      <c r="L15" s="39" t="n">
        <f aca="false">L14+F15-I15</f>
        <v>103665.125073143</v>
      </c>
    </row>
    <row r="16" customFormat="false" ht="15.75" hidden="false" customHeight="false" outlineLevel="0" collapsed="false">
      <c r="B16" s="27" t="n">
        <f aca="false">'LIBRO DIARIO'!B98</f>
        <v>46037</v>
      </c>
      <c r="C16" s="25" t="s">
        <v>223</v>
      </c>
      <c r="D16" s="25"/>
      <c r="E16" s="25"/>
      <c r="F16" s="25"/>
      <c r="G16" s="25" t="n">
        <f aca="false">CÁLCULOS!F83</f>
        <v>5400</v>
      </c>
      <c r="H16" s="39" t="n">
        <f aca="false">K15</f>
        <v>4.95625956555475</v>
      </c>
      <c r="I16" s="34" t="n">
        <f aca="false">G16*H16</f>
        <v>26763.8016539957</v>
      </c>
      <c r="J16" s="25" t="n">
        <f aca="false">J15+D16-G16</f>
        <v>15516</v>
      </c>
      <c r="K16" s="39" t="n">
        <f aca="false">L16/J16</f>
        <v>4.95625956555475</v>
      </c>
      <c r="L16" s="39" t="n">
        <f aca="false">L15+F16-I16</f>
        <v>76901.3234191475</v>
      </c>
    </row>
    <row r="17" customFormat="false" ht="15.75" hidden="false" customHeight="false" outlineLevel="0" collapsed="false">
      <c r="B17" s="27" t="n">
        <f aca="false">'LIBRO DIARIO'!B98</f>
        <v>46037</v>
      </c>
      <c r="C17" s="25" t="s">
        <v>224</v>
      </c>
      <c r="D17" s="25"/>
      <c r="E17" s="25"/>
      <c r="F17" s="25"/>
      <c r="G17" s="25" t="n">
        <f aca="false">CÁLCULOS!F84</f>
        <v>9900</v>
      </c>
      <c r="H17" s="39" t="n">
        <f aca="false">K16</f>
        <v>4.95625956555475</v>
      </c>
      <c r="I17" s="34" t="n">
        <f aca="false">G17*H17</f>
        <v>49066.969698992</v>
      </c>
      <c r="J17" s="37" t="n">
        <f aca="false">J16+D17-G17</f>
        <v>5616</v>
      </c>
      <c r="K17" s="39" t="n">
        <f aca="false">L17/J17</f>
        <v>4.95625956555475</v>
      </c>
      <c r="L17" s="39" t="n">
        <f aca="false">L16+F17-I17</f>
        <v>27834.3537201555</v>
      </c>
    </row>
    <row r="21" customFormat="false" ht="15.75" hidden="false" customHeight="false" outlineLevel="0" collapsed="false">
      <c r="B21" s="23" t="s">
        <v>205</v>
      </c>
      <c r="C21" s="23" t="s">
        <v>225</v>
      </c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15.75" hidden="false" customHeight="false" outlineLevel="0" collapsed="false">
      <c r="B22" s="23" t="s">
        <v>226</v>
      </c>
      <c r="C22" s="23"/>
      <c r="D22" s="23"/>
      <c r="E22" s="23"/>
      <c r="F22" s="23" t="s">
        <v>208</v>
      </c>
      <c r="G22" s="23"/>
      <c r="H22" s="23" t="s">
        <v>209</v>
      </c>
      <c r="I22" s="23"/>
      <c r="J22" s="23"/>
      <c r="K22" s="23" t="s">
        <v>210</v>
      </c>
      <c r="L22" s="23" t="n">
        <v>2</v>
      </c>
    </row>
    <row r="23" customFormat="false" ht="15.75" hidden="false" customHeight="false" outlineLevel="0" collapsed="false">
      <c r="B23" s="23"/>
      <c r="C23" s="23"/>
      <c r="D23" s="28" t="s">
        <v>211</v>
      </c>
      <c r="E23" s="28"/>
      <c r="F23" s="28"/>
      <c r="G23" s="28" t="s">
        <v>212</v>
      </c>
      <c r="H23" s="28"/>
      <c r="I23" s="28"/>
      <c r="J23" s="28" t="s">
        <v>213</v>
      </c>
      <c r="K23" s="28"/>
      <c r="L23" s="28"/>
    </row>
    <row r="24" customFormat="false" ht="15.75" hidden="false" customHeight="false" outlineLevel="0" collapsed="false">
      <c r="B24" s="37" t="s">
        <v>44</v>
      </c>
      <c r="C24" s="37" t="s">
        <v>45</v>
      </c>
      <c r="D24" s="115" t="s">
        <v>214</v>
      </c>
      <c r="E24" s="106" t="s">
        <v>215</v>
      </c>
      <c r="F24" s="106" t="s">
        <v>191</v>
      </c>
      <c r="G24" s="116" t="s">
        <v>214</v>
      </c>
      <c r="H24" s="117" t="s">
        <v>215</v>
      </c>
      <c r="I24" s="117" t="s">
        <v>191</v>
      </c>
      <c r="J24" s="103" t="s">
        <v>214</v>
      </c>
      <c r="K24" s="118" t="s">
        <v>215</v>
      </c>
      <c r="L24" s="118" t="s">
        <v>191</v>
      </c>
    </row>
    <row r="25" customFormat="false" ht="15.75" hidden="false" customHeight="false" outlineLevel="0" collapsed="false">
      <c r="B25" s="27" t="n">
        <f aca="false">'LIBRO DIARIO'!B7</f>
        <v>46027</v>
      </c>
      <c r="C25" s="25" t="s">
        <v>216</v>
      </c>
      <c r="D25" s="25" t="n">
        <v>3000</v>
      </c>
      <c r="E25" s="30" t="n">
        <v>0.5</v>
      </c>
      <c r="F25" s="39" t="n">
        <f aca="false">D25*E25</f>
        <v>1500</v>
      </c>
      <c r="G25" s="25"/>
      <c r="H25" s="25"/>
      <c r="I25" s="25"/>
      <c r="J25" s="25" t="n">
        <f aca="false">D25-G25</f>
        <v>3000</v>
      </c>
      <c r="K25" s="39" t="n">
        <f aca="false">L25/J25</f>
        <v>0.5</v>
      </c>
      <c r="L25" s="39" t="n">
        <f aca="false">F25-I25</f>
        <v>1500</v>
      </c>
    </row>
    <row r="26" customFormat="false" ht="15.75" hidden="false" customHeight="false" outlineLevel="0" collapsed="false">
      <c r="B26" s="27" t="n">
        <v>46027</v>
      </c>
      <c r="C26" s="25" t="s">
        <v>217</v>
      </c>
      <c r="D26" s="25" t="n">
        <f aca="false">CÁLCULOS!J18</f>
        <v>18000</v>
      </c>
      <c r="E26" s="34" t="n">
        <f aca="false">E25*1.1</f>
        <v>0.55</v>
      </c>
      <c r="F26" s="39" t="n">
        <f aca="false">D26*E26</f>
        <v>9900</v>
      </c>
      <c r="G26" s="25"/>
      <c r="H26" s="25"/>
      <c r="I26" s="25"/>
      <c r="J26" s="25" t="n">
        <f aca="false">J25+D26-G26</f>
        <v>21000</v>
      </c>
      <c r="K26" s="39" t="n">
        <f aca="false">L26/J26</f>
        <v>0.542857142857143</v>
      </c>
      <c r="L26" s="39" t="n">
        <f aca="false">L25+F26-I26</f>
        <v>11400</v>
      </c>
    </row>
    <row r="27" customFormat="false" ht="15.75" hidden="false" customHeight="false" outlineLevel="0" collapsed="false">
      <c r="B27" s="27" t="n">
        <v>46027</v>
      </c>
      <c r="C27" s="25" t="s">
        <v>218</v>
      </c>
      <c r="D27" s="25"/>
      <c r="E27" s="25"/>
      <c r="F27" s="25"/>
      <c r="G27" s="25" t="n">
        <f aca="false">CÁLCULOS!E15</f>
        <v>4000</v>
      </c>
      <c r="H27" s="39" t="n">
        <f aca="false">K26</f>
        <v>0.542857142857143</v>
      </c>
      <c r="I27" s="34" t="n">
        <f aca="false">G27*H27</f>
        <v>2171.42857142857</v>
      </c>
      <c r="J27" s="25" t="n">
        <f aca="false">J26+D27-G27</f>
        <v>17000</v>
      </c>
      <c r="K27" s="39" t="n">
        <f aca="false">L27/J27</f>
        <v>0.542857142857143</v>
      </c>
      <c r="L27" s="39" t="n">
        <f aca="false">L26+F27-I27</f>
        <v>9228.57142857143</v>
      </c>
    </row>
    <row r="28" customFormat="false" ht="15.75" hidden="false" customHeight="false" outlineLevel="0" collapsed="false">
      <c r="B28" s="27" t="n">
        <v>46027</v>
      </c>
      <c r="C28" s="25" t="s">
        <v>219</v>
      </c>
      <c r="D28" s="25"/>
      <c r="E28" s="25"/>
      <c r="F28" s="25"/>
      <c r="G28" s="25" t="n">
        <f aca="false">CÁLCULOS!E16</f>
        <v>6000</v>
      </c>
      <c r="H28" s="39" t="n">
        <f aca="false">K27</f>
        <v>0.542857142857143</v>
      </c>
      <c r="I28" s="34" t="n">
        <f aca="false">G28*H28</f>
        <v>3257.14285714286</v>
      </c>
      <c r="J28" s="25" t="n">
        <f aca="false">J27+D28-G28</f>
        <v>11000</v>
      </c>
      <c r="K28" s="39" t="n">
        <f aca="false">L28/J28</f>
        <v>0.542857142857143</v>
      </c>
      <c r="L28" s="39" t="n">
        <f aca="false">L27+F28-I28</f>
        <v>5971.42857142857</v>
      </c>
    </row>
    <row r="29" customFormat="false" ht="15.75" hidden="false" customHeight="false" outlineLevel="0" collapsed="false">
      <c r="B29" s="27" t="n">
        <v>46027</v>
      </c>
      <c r="C29" s="25" t="s">
        <v>220</v>
      </c>
      <c r="D29" s="25"/>
      <c r="E29" s="25"/>
      <c r="F29" s="25"/>
      <c r="G29" s="25" t="n">
        <f aca="false">CÁLCULOS!E17</f>
        <v>5000</v>
      </c>
      <c r="H29" s="39" t="n">
        <f aca="false">K28</f>
        <v>0.542857142857143</v>
      </c>
      <c r="I29" s="34" t="n">
        <f aca="false">G29*H29</f>
        <v>2714.28571428571</v>
      </c>
      <c r="J29" s="37" t="n">
        <f aca="false">J28+D29-G29</f>
        <v>6000</v>
      </c>
      <c r="K29" s="39" t="n">
        <f aca="false">L29/J29</f>
        <v>0.542857142857143</v>
      </c>
      <c r="L29" s="39" t="n">
        <f aca="false">L28+F29-I29</f>
        <v>3257.14285714286</v>
      </c>
    </row>
    <row r="30" customFormat="false" ht="15.75" hidden="false" customHeight="false" outlineLevel="0" collapsed="false">
      <c r="B30" s="27" t="n">
        <f aca="false">'LIBRO DIARIO'!B98</f>
        <v>46037</v>
      </c>
      <c r="C30" s="25" t="s">
        <v>221</v>
      </c>
      <c r="D30" s="25" t="n">
        <f aca="false">CÁLCULOS!J95</f>
        <v>20000</v>
      </c>
      <c r="E30" s="34" t="n">
        <f aca="false">E26*1.1</f>
        <v>0.605</v>
      </c>
      <c r="F30" s="39" t="n">
        <f aca="false">D30*E30</f>
        <v>12100</v>
      </c>
      <c r="G30" s="25"/>
      <c r="H30" s="39"/>
      <c r="I30" s="34"/>
      <c r="J30" s="25" t="n">
        <f aca="false">J29+D30-G30</f>
        <v>26000</v>
      </c>
      <c r="K30" s="39" t="n">
        <f aca="false">L30/J30</f>
        <v>0.590659340659341</v>
      </c>
      <c r="L30" s="39" t="n">
        <f aca="false">L29+F30-I30</f>
        <v>15357.1428571429</v>
      </c>
    </row>
    <row r="31" customFormat="false" ht="15.75" hidden="false" customHeight="false" outlineLevel="0" collapsed="false">
      <c r="B31" s="27" t="n">
        <f aca="false">'LIBRO DIARIO'!B98</f>
        <v>46037</v>
      </c>
      <c r="C31" s="25" t="s">
        <v>218</v>
      </c>
      <c r="D31" s="25"/>
      <c r="E31" s="25"/>
      <c r="F31" s="25"/>
      <c r="G31" s="25" t="n">
        <f aca="false">CÁLCULOS!E92</f>
        <v>5000</v>
      </c>
      <c r="H31" s="39" t="n">
        <f aca="false">K30</f>
        <v>0.590659340659341</v>
      </c>
      <c r="I31" s="34" t="n">
        <f aca="false">G31*H31</f>
        <v>2953.2967032967</v>
      </c>
      <c r="J31" s="25" t="n">
        <f aca="false">J30+D31-G31</f>
        <v>21000</v>
      </c>
      <c r="K31" s="39" t="n">
        <f aca="false">L31/J31</f>
        <v>0.590659340659341</v>
      </c>
      <c r="L31" s="39" t="n">
        <f aca="false">L30+F31-I31</f>
        <v>12403.8461538462</v>
      </c>
    </row>
    <row r="32" customFormat="false" ht="15.75" hidden="false" customHeight="false" outlineLevel="0" collapsed="false">
      <c r="B32" s="27" t="n">
        <f aca="false">'LIBRO DIARIO'!B98</f>
        <v>46037</v>
      </c>
      <c r="C32" s="25" t="s">
        <v>219</v>
      </c>
      <c r="D32" s="25"/>
      <c r="E32" s="25"/>
      <c r="F32" s="25"/>
      <c r="G32" s="25" t="n">
        <f aca="false">CÁLCULOS!E93</f>
        <v>6000</v>
      </c>
      <c r="H32" s="39" t="n">
        <f aca="false">K31</f>
        <v>0.590659340659341</v>
      </c>
      <c r="I32" s="34" t="n">
        <f aca="false">G32*H32</f>
        <v>3543.95604395604</v>
      </c>
      <c r="J32" s="25" t="n">
        <f aca="false">J31+D32-G32</f>
        <v>15000</v>
      </c>
      <c r="K32" s="39" t="n">
        <f aca="false">L32/J32</f>
        <v>0.590659340659341</v>
      </c>
      <c r="L32" s="39" t="n">
        <f aca="false">L31+F32-I32</f>
        <v>8859.89010989011</v>
      </c>
    </row>
    <row r="33" customFormat="false" ht="15.75" hidden="false" customHeight="false" outlineLevel="0" collapsed="false">
      <c r="B33" s="27" t="n">
        <f aca="false">'LIBRO DIARIO'!B98</f>
        <v>46037</v>
      </c>
      <c r="C33" s="25" t="s">
        <v>220</v>
      </c>
      <c r="D33" s="25"/>
      <c r="E33" s="25"/>
      <c r="F33" s="25"/>
      <c r="G33" s="25" t="n">
        <f aca="false">CÁLCULOS!E94</f>
        <v>9000</v>
      </c>
      <c r="H33" s="39" t="n">
        <f aca="false">K32</f>
        <v>0.590659340659341</v>
      </c>
      <c r="I33" s="34" t="n">
        <f aca="false">G33*H33</f>
        <v>5315.93406593407</v>
      </c>
      <c r="J33" s="37" t="n">
        <f aca="false">J32+D33-G33</f>
        <v>6000</v>
      </c>
      <c r="K33" s="39" t="n">
        <f aca="false">L33/J33</f>
        <v>0.590659340659341</v>
      </c>
      <c r="L33" s="39" t="n">
        <f aca="false">L32+F33-I33</f>
        <v>3543.95604395604</v>
      </c>
    </row>
    <row r="34" customFormat="false" ht="15.75" hidden="false" customHeight="false" outlineLevel="0" collapsed="false">
      <c r="B34" s="119"/>
      <c r="C34" s="23"/>
      <c r="D34" s="23"/>
      <c r="E34" s="23"/>
      <c r="F34" s="23"/>
      <c r="G34" s="23"/>
      <c r="H34" s="120"/>
      <c r="I34" s="121"/>
      <c r="J34" s="23"/>
      <c r="K34" s="120"/>
      <c r="L34" s="120"/>
    </row>
    <row r="35" customFormat="false" ht="15.75" hidden="false" customHeight="false" outlineLevel="0" collapsed="false">
      <c r="B35" s="119"/>
      <c r="C35" s="23"/>
      <c r="D35" s="23"/>
      <c r="E35" s="23"/>
      <c r="F35" s="23"/>
      <c r="G35" s="23"/>
      <c r="H35" s="120"/>
      <c r="I35" s="121"/>
      <c r="J35" s="23"/>
      <c r="K35" s="120"/>
      <c r="L35" s="120"/>
    </row>
    <row r="37" customFormat="false" ht="15.75" hidden="false" customHeight="false" outlineLevel="0" collapsed="false">
      <c r="B37" s="23" t="s">
        <v>205</v>
      </c>
      <c r="C37" s="23" t="s">
        <v>5</v>
      </c>
      <c r="D37" s="23"/>
      <c r="E37" s="23"/>
      <c r="F37" s="23"/>
      <c r="G37" s="23"/>
      <c r="H37" s="23"/>
      <c r="I37" s="23"/>
      <c r="J37" s="23"/>
      <c r="K37" s="23"/>
      <c r="L37" s="23"/>
    </row>
    <row r="38" customFormat="false" ht="15.75" hidden="false" customHeight="false" outlineLevel="0" collapsed="false">
      <c r="B38" s="23" t="s">
        <v>226</v>
      </c>
      <c r="C38" s="23"/>
      <c r="D38" s="23"/>
      <c r="E38" s="23"/>
      <c r="F38" s="23" t="s">
        <v>208</v>
      </c>
      <c r="G38" s="23"/>
      <c r="H38" s="23" t="s">
        <v>209</v>
      </c>
      <c r="I38" s="23"/>
      <c r="J38" s="23"/>
      <c r="K38" s="23" t="s">
        <v>210</v>
      </c>
      <c r="L38" s="23" t="n">
        <v>3</v>
      </c>
    </row>
    <row r="39" customFormat="false" ht="15.75" hidden="false" customHeight="false" outlineLevel="0" collapsed="false">
      <c r="B39" s="23"/>
      <c r="C39" s="23"/>
      <c r="D39" s="28" t="s">
        <v>211</v>
      </c>
      <c r="E39" s="28"/>
      <c r="F39" s="28"/>
      <c r="G39" s="28" t="s">
        <v>212</v>
      </c>
      <c r="H39" s="28"/>
      <c r="I39" s="28"/>
      <c r="J39" s="28" t="s">
        <v>213</v>
      </c>
      <c r="K39" s="28"/>
      <c r="L39" s="28"/>
    </row>
    <row r="40" customFormat="false" ht="15.75" hidden="false" customHeight="false" outlineLevel="0" collapsed="false">
      <c r="B40" s="37" t="s">
        <v>44</v>
      </c>
      <c r="C40" s="37" t="s">
        <v>45</v>
      </c>
      <c r="D40" s="115" t="s">
        <v>214</v>
      </c>
      <c r="E40" s="106" t="s">
        <v>215</v>
      </c>
      <c r="F40" s="106" t="s">
        <v>191</v>
      </c>
      <c r="G40" s="116" t="s">
        <v>214</v>
      </c>
      <c r="H40" s="117" t="s">
        <v>215</v>
      </c>
      <c r="I40" s="117" t="s">
        <v>191</v>
      </c>
      <c r="J40" s="103" t="s">
        <v>214</v>
      </c>
      <c r="K40" s="118" t="s">
        <v>215</v>
      </c>
      <c r="L40" s="118" t="s">
        <v>191</v>
      </c>
    </row>
    <row r="41" customFormat="false" ht="15.75" hidden="false" customHeight="false" outlineLevel="0" collapsed="false">
      <c r="B41" s="27" t="n">
        <f aca="false">'LIBRO DIARIO'!B7</f>
        <v>46027</v>
      </c>
      <c r="C41" s="25" t="s">
        <v>216</v>
      </c>
      <c r="D41" s="25" t="n">
        <v>5000</v>
      </c>
      <c r="E41" s="30" t="n">
        <v>0.2</v>
      </c>
      <c r="F41" s="39" t="n">
        <f aca="false">D41*E41</f>
        <v>1000</v>
      </c>
      <c r="G41" s="25"/>
      <c r="H41" s="25"/>
      <c r="I41" s="25"/>
      <c r="J41" s="25" t="n">
        <f aca="false">D41-G41</f>
        <v>5000</v>
      </c>
      <c r="K41" s="39" t="n">
        <f aca="false">L41/J41</f>
        <v>0.2</v>
      </c>
      <c r="L41" s="39" t="n">
        <f aca="false">F41-I41</f>
        <v>1000</v>
      </c>
    </row>
    <row r="42" customFormat="false" ht="15.75" hidden="false" customHeight="false" outlineLevel="0" collapsed="false">
      <c r="B42" s="27" t="n">
        <v>46027</v>
      </c>
      <c r="C42" s="25" t="s">
        <v>217</v>
      </c>
      <c r="D42" s="25" t="n">
        <f aca="false">CÁLCULOS!J27</f>
        <v>37000</v>
      </c>
      <c r="E42" s="34" t="n">
        <f aca="false">E41*1.1</f>
        <v>0.22</v>
      </c>
      <c r="F42" s="39" t="n">
        <f aca="false">D42*E42</f>
        <v>8140</v>
      </c>
      <c r="G42" s="25"/>
      <c r="H42" s="25"/>
      <c r="I42" s="25"/>
      <c r="J42" s="25" t="n">
        <f aca="false">J41+D42-G42</f>
        <v>42000</v>
      </c>
      <c r="K42" s="39" t="n">
        <f aca="false">L42/J42</f>
        <v>0.217619047619048</v>
      </c>
      <c r="L42" s="39" t="n">
        <f aca="false">L41+F42-I42</f>
        <v>9140</v>
      </c>
    </row>
    <row r="43" customFormat="false" ht="15.75" hidden="false" customHeight="false" outlineLevel="0" collapsed="false">
      <c r="B43" s="27" t="n">
        <v>46027</v>
      </c>
      <c r="C43" s="25" t="s">
        <v>218</v>
      </c>
      <c r="D43" s="25"/>
      <c r="E43" s="25"/>
      <c r="F43" s="25"/>
      <c r="G43" s="25" t="n">
        <f aca="false">CÁLCULOS!E24</f>
        <v>8000</v>
      </c>
      <c r="H43" s="39" t="n">
        <f aca="false">K42</f>
        <v>0.217619047619048</v>
      </c>
      <c r="I43" s="34" t="n">
        <f aca="false">G43*H43</f>
        <v>1740.95238095238</v>
      </c>
      <c r="J43" s="25" t="n">
        <f aca="false">J42+D43-G43</f>
        <v>34000</v>
      </c>
      <c r="K43" s="39" t="n">
        <f aca="false">L43/J43</f>
        <v>0.217619047619048</v>
      </c>
      <c r="L43" s="39" t="n">
        <f aca="false">L42+F43-I43</f>
        <v>7399.04761904762</v>
      </c>
    </row>
    <row r="44" customFormat="false" ht="15.75" hidden="false" customHeight="false" outlineLevel="0" collapsed="false">
      <c r="B44" s="27" t="n">
        <v>46027</v>
      </c>
      <c r="C44" s="25" t="s">
        <v>219</v>
      </c>
      <c r="D44" s="25"/>
      <c r="E44" s="25"/>
      <c r="F44" s="25"/>
      <c r="G44" s="25" t="n">
        <f aca="false">CÁLCULOS!E25</f>
        <v>12000</v>
      </c>
      <c r="H44" s="39" t="n">
        <f aca="false">K43</f>
        <v>0.217619047619048</v>
      </c>
      <c r="I44" s="34" t="n">
        <f aca="false">G44*H44</f>
        <v>2611.42857142857</v>
      </c>
      <c r="J44" s="25" t="n">
        <f aca="false">J43+D44-G44</f>
        <v>22000</v>
      </c>
      <c r="K44" s="39" t="n">
        <f aca="false">L44/J44</f>
        <v>0.217619047619048</v>
      </c>
      <c r="L44" s="39" t="n">
        <f aca="false">L43+F44-I44</f>
        <v>4787.61904761905</v>
      </c>
    </row>
    <row r="45" customFormat="false" ht="15.75" hidden="false" customHeight="false" outlineLevel="0" collapsed="false">
      <c r="B45" s="27" t="n">
        <v>46027</v>
      </c>
      <c r="C45" s="25" t="s">
        <v>220</v>
      </c>
      <c r="D45" s="25"/>
      <c r="E45" s="25"/>
      <c r="F45" s="25"/>
      <c r="G45" s="25" t="n">
        <f aca="false">CÁLCULOS!E26</f>
        <v>10000</v>
      </c>
      <c r="H45" s="39" t="n">
        <f aca="false">K44</f>
        <v>0.217619047619048</v>
      </c>
      <c r="I45" s="34" t="n">
        <f aca="false">G45*H45</f>
        <v>2176.19047619048</v>
      </c>
      <c r="J45" s="37" t="n">
        <f aca="false">J44+D45-G45</f>
        <v>12000</v>
      </c>
      <c r="K45" s="39" t="n">
        <f aca="false">L45/J45</f>
        <v>0.217619047619048</v>
      </c>
      <c r="L45" s="39" t="n">
        <f aca="false">L44+F45-I45</f>
        <v>2611.42857142857</v>
      </c>
    </row>
    <row r="46" customFormat="false" ht="15.75" hidden="false" customHeight="false" outlineLevel="0" collapsed="false">
      <c r="B46" s="27" t="n">
        <f aca="false">'LIBRO DIARIO'!B98</f>
        <v>46037</v>
      </c>
      <c r="C46" s="25" t="s">
        <v>221</v>
      </c>
      <c r="D46" s="25" t="n">
        <f aca="false">CÁLCULOS!J104</f>
        <v>40000</v>
      </c>
      <c r="E46" s="34" t="n">
        <f aca="false">E42*1.1</f>
        <v>0.242</v>
      </c>
      <c r="F46" s="39" t="n">
        <f aca="false">D46*E46</f>
        <v>9680</v>
      </c>
      <c r="G46" s="25"/>
      <c r="H46" s="39"/>
      <c r="I46" s="34"/>
      <c r="J46" s="25" t="n">
        <f aca="false">J45+D46-G46</f>
        <v>52000</v>
      </c>
      <c r="K46" s="39" t="n">
        <f aca="false">L46/J46</f>
        <v>0.236373626373626</v>
      </c>
      <c r="L46" s="39" t="n">
        <f aca="false">L45+F46-I46</f>
        <v>12291.4285714286</v>
      </c>
    </row>
    <row r="47" customFormat="false" ht="15.75" hidden="false" customHeight="false" outlineLevel="0" collapsed="false">
      <c r="B47" s="27" t="n">
        <f aca="false">'LIBRO DIARIO'!B98</f>
        <v>46037</v>
      </c>
      <c r="C47" s="25" t="s">
        <v>218</v>
      </c>
      <c r="D47" s="25"/>
      <c r="E47" s="25"/>
      <c r="F47" s="25"/>
      <c r="G47" s="25" t="n">
        <f aca="false">CÁLCULOS!E101</f>
        <v>10000</v>
      </c>
      <c r="H47" s="39" t="n">
        <f aca="false">K46</f>
        <v>0.236373626373626</v>
      </c>
      <c r="I47" s="34" t="n">
        <f aca="false">G47*H47</f>
        <v>2363.73626373626</v>
      </c>
      <c r="J47" s="25" t="n">
        <f aca="false">J46+D47-G47</f>
        <v>42000</v>
      </c>
      <c r="K47" s="39" t="n">
        <f aca="false">L47/J47</f>
        <v>0.236373626373626</v>
      </c>
      <c r="L47" s="39" t="n">
        <f aca="false">L46+F47-I47</f>
        <v>9927.69230769231</v>
      </c>
    </row>
    <row r="48" customFormat="false" ht="15.75" hidden="false" customHeight="false" outlineLevel="0" collapsed="false">
      <c r="B48" s="27" t="n">
        <f aca="false">'LIBRO DIARIO'!B98</f>
        <v>46037</v>
      </c>
      <c r="C48" s="25" t="s">
        <v>219</v>
      </c>
      <c r="D48" s="25"/>
      <c r="E48" s="25"/>
      <c r="F48" s="25"/>
      <c r="G48" s="25" t="n">
        <f aca="false">CÁLCULOS!E102</f>
        <v>12000</v>
      </c>
      <c r="H48" s="39" t="n">
        <f aca="false">K47</f>
        <v>0.236373626373626</v>
      </c>
      <c r="I48" s="34" t="n">
        <f aca="false">G48*H48</f>
        <v>2836.48351648352</v>
      </c>
      <c r="J48" s="25" t="n">
        <f aca="false">J47+D48-G48</f>
        <v>30000</v>
      </c>
      <c r="K48" s="39" t="n">
        <f aca="false">L48/J48</f>
        <v>0.236373626373626</v>
      </c>
      <c r="L48" s="39" t="n">
        <f aca="false">L47+F48-I48</f>
        <v>7091.20879120879</v>
      </c>
    </row>
    <row r="49" customFormat="false" ht="15.75" hidden="false" customHeight="false" outlineLevel="0" collapsed="false">
      <c r="B49" s="27" t="n">
        <f aca="false">'LIBRO DIARIO'!B98</f>
        <v>46037</v>
      </c>
      <c r="C49" s="25" t="s">
        <v>220</v>
      </c>
      <c r="D49" s="25"/>
      <c r="E49" s="25"/>
      <c r="F49" s="25"/>
      <c r="G49" s="25" t="n">
        <f aca="false">CÁLCULOS!E103</f>
        <v>18000</v>
      </c>
      <c r="H49" s="39" t="n">
        <f aca="false">K48</f>
        <v>0.236373626373626</v>
      </c>
      <c r="I49" s="34" t="n">
        <f aca="false">G49*H49</f>
        <v>4254.72527472528</v>
      </c>
      <c r="J49" s="37" t="n">
        <f aca="false">J48+D49-G49</f>
        <v>12000</v>
      </c>
      <c r="K49" s="39" t="n">
        <f aca="false">L49/J49</f>
        <v>0.236373626373626</v>
      </c>
      <c r="L49" s="39" t="n">
        <f aca="false">L48+F49-I49</f>
        <v>2836.48351648352</v>
      </c>
    </row>
    <row r="50" customFormat="false" ht="15.75" hidden="false" customHeight="false" outlineLevel="0" collapsed="false">
      <c r="B50" s="119"/>
      <c r="C50" s="23"/>
      <c r="D50" s="23"/>
      <c r="E50" s="23"/>
      <c r="F50" s="23"/>
      <c r="G50" s="23"/>
      <c r="H50" s="120"/>
      <c r="I50" s="121"/>
      <c r="J50" s="23"/>
      <c r="K50" s="120"/>
      <c r="L50" s="120"/>
    </row>
    <row r="51" customFormat="false" ht="15.75" hidden="false" customHeight="false" outlineLevel="0" collapsed="false">
      <c r="B51" s="119"/>
      <c r="C51" s="23"/>
      <c r="D51" s="23"/>
      <c r="E51" s="23"/>
      <c r="F51" s="23"/>
      <c r="G51" s="23"/>
      <c r="H51" s="120"/>
      <c r="I51" s="121"/>
      <c r="J51" s="23"/>
      <c r="K51" s="120"/>
      <c r="L51" s="120"/>
    </row>
    <row r="53" customFormat="false" ht="15.75" hidden="false" customHeight="false" outlineLevel="0" collapsed="false">
      <c r="B53" s="23" t="s">
        <v>205</v>
      </c>
      <c r="C53" s="23" t="s">
        <v>227</v>
      </c>
      <c r="D53" s="23"/>
      <c r="E53" s="23"/>
      <c r="F53" s="23"/>
      <c r="G53" s="23"/>
      <c r="H53" s="23"/>
      <c r="I53" s="23"/>
      <c r="J53" s="23"/>
      <c r="K53" s="23"/>
      <c r="L53" s="23"/>
    </row>
    <row r="54" customFormat="false" ht="15.75" hidden="false" customHeight="false" outlineLevel="0" collapsed="false">
      <c r="B54" s="23" t="s">
        <v>226</v>
      </c>
      <c r="C54" s="23"/>
      <c r="D54" s="23"/>
      <c r="E54" s="23"/>
      <c r="F54" s="23" t="s">
        <v>208</v>
      </c>
      <c r="G54" s="23"/>
      <c r="H54" s="23" t="s">
        <v>209</v>
      </c>
      <c r="I54" s="23"/>
      <c r="J54" s="23"/>
      <c r="K54" s="23" t="s">
        <v>210</v>
      </c>
      <c r="L54" s="23" t="n">
        <v>4</v>
      </c>
    </row>
    <row r="55" customFormat="false" ht="15.75" hidden="false" customHeight="false" outlineLevel="0" collapsed="false">
      <c r="B55" s="23"/>
      <c r="C55" s="23"/>
      <c r="D55" s="28" t="s">
        <v>211</v>
      </c>
      <c r="E55" s="28"/>
      <c r="F55" s="28"/>
      <c r="G55" s="28" t="s">
        <v>212</v>
      </c>
      <c r="H55" s="28"/>
      <c r="I55" s="28"/>
      <c r="J55" s="28" t="s">
        <v>213</v>
      </c>
      <c r="K55" s="28"/>
      <c r="L55" s="28"/>
    </row>
    <row r="56" customFormat="false" ht="15.75" hidden="false" customHeight="false" outlineLevel="0" collapsed="false">
      <c r="B56" s="37" t="s">
        <v>44</v>
      </c>
      <c r="C56" s="37" t="s">
        <v>45</v>
      </c>
      <c r="D56" s="115" t="s">
        <v>214</v>
      </c>
      <c r="E56" s="106" t="s">
        <v>215</v>
      </c>
      <c r="F56" s="106" t="s">
        <v>191</v>
      </c>
      <c r="G56" s="116" t="s">
        <v>214</v>
      </c>
      <c r="H56" s="117" t="s">
        <v>215</v>
      </c>
      <c r="I56" s="117" t="s">
        <v>191</v>
      </c>
      <c r="J56" s="103" t="s">
        <v>214</v>
      </c>
      <c r="K56" s="118" t="s">
        <v>215</v>
      </c>
      <c r="L56" s="118" t="s">
        <v>191</v>
      </c>
    </row>
    <row r="57" customFormat="false" ht="15.75" hidden="false" customHeight="false" outlineLevel="0" collapsed="false">
      <c r="B57" s="27" t="n">
        <f aca="false">'LIBRO DIARIO'!B7</f>
        <v>46027</v>
      </c>
      <c r="C57" s="25" t="s">
        <v>216</v>
      </c>
      <c r="D57" s="25" t="n">
        <v>40000</v>
      </c>
      <c r="E57" s="30" t="n">
        <v>0.05</v>
      </c>
      <c r="F57" s="39" t="n">
        <f aca="false">D57*E57</f>
        <v>2000</v>
      </c>
      <c r="G57" s="25"/>
      <c r="H57" s="25"/>
      <c r="I57" s="25"/>
      <c r="J57" s="25" t="n">
        <f aca="false">D57-G57</f>
        <v>40000</v>
      </c>
      <c r="K57" s="39" t="n">
        <f aca="false">L57/J57</f>
        <v>0.05</v>
      </c>
      <c r="L57" s="39" t="n">
        <f aca="false">F57-I57</f>
        <v>2000</v>
      </c>
    </row>
    <row r="58" customFormat="false" ht="15.75" hidden="false" customHeight="false" outlineLevel="0" collapsed="false">
      <c r="B58" s="27" t="n">
        <v>46027</v>
      </c>
      <c r="C58" s="25" t="s">
        <v>217</v>
      </c>
      <c r="D58" s="25" t="n">
        <f aca="false">CÁLCULOS!J36</f>
        <v>2000</v>
      </c>
      <c r="E58" s="34" t="n">
        <f aca="false">E57*1.1</f>
        <v>0.055</v>
      </c>
      <c r="F58" s="39" t="n">
        <f aca="false">D58*E58</f>
        <v>110</v>
      </c>
      <c r="G58" s="25"/>
      <c r="H58" s="25"/>
      <c r="I58" s="25"/>
      <c r="J58" s="25" t="n">
        <f aca="false">J57+D58-G58</f>
        <v>42000</v>
      </c>
      <c r="K58" s="39" t="n">
        <f aca="false">L58/J58</f>
        <v>0.0502380952380952</v>
      </c>
      <c r="L58" s="39" t="n">
        <f aca="false">L57+F58-I58</f>
        <v>2110</v>
      </c>
    </row>
    <row r="59" customFormat="false" ht="15.75" hidden="false" customHeight="false" outlineLevel="0" collapsed="false">
      <c r="B59" s="122" t="n">
        <v>46027</v>
      </c>
      <c r="C59" s="123" t="s">
        <v>218</v>
      </c>
      <c r="D59" s="123"/>
      <c r="E59" s="123"/>
      <c r="F59" s="123"/>
      <c r="G59" s="123" t="n">
        <f aca="false">CÁLCULOS!E33</f>
        <v>8000</v>
      </c>
      <c r="H59" s="124" t="n">
        <f aca="false">K58</f>
        <v>0.0502380952380952</v>
      </c>
      <c r="I59" s="125" t="n">
        <f aca="false">G59*H59</f>
        <v>401.904761904762</v>
      </c>
      <c r="J59" s="25" t="n">
        <f aca="false">J58+D59-G59</f>
        <v>34000</v>
      </c>
      <c r="K59" s="39" t="n">
        <f aca="false">L59/J59</f>
        <v>0.0502380952380952</v>
      </c>
      <c r="L59" s="39" t="n">
        <f aca="false">L58+F59-I59</f>
        <v>1708.09523809524</v>
      </c>
    </row>
    <row r="60" customFormat="false" ht="15.75" hidden="false" customHeight="false" outlineLevel="0" collapsed="false">
      <c r="B60" s="126" t="n">
        <v>46027</v>
      </c>
      <c r="C60" s="127" t="s">
        <v>219</v>
      </c>
      <c r="D60" s="127"/>
      <c r="E60" s="127"/>
      <c r="F60" s="127"/>
      <c r="G60" s="123" t="n">
        <f aca="false">CÁLCULOS!E34</f>
        <v>12000</v>
      </c>
      <c r="H60" s="124" t="n">
        <f aca="false">K59</f>
        <v>0.0502380952380952</v>
      </c>
      <c r="I60" s="125" t="n">
        <f aca="false">G60*H60</f>
        <v>602.857142857143</v>
      </c>
      <c r="J60" s="25" t="n">
        <f aca="false">J59+D60-G60</f>
        <v>22000</v>
      </c>
      <c r="K60" s="39" t="n">
        <f aca="false">L60/J60</f>
        <v>0.0502380952380953</v>
      </c>
      <c r="L60" s="39" t="n">
        <f aca="false">L59+F60-I60</f>
        <v>1105.2380952381</v>
      </c>
    </row>
    <row r="61" customFormat="false" ht="15.75" hidden="false" customHeight="false" outlineLevel="0" collapsed="false">
      <c r="B61" s="126" t="n">
        <v>46027</v>
      </c>
      <c r="C61" s="127" t="s">
        <v>220</v>
      </c>
      <c r="D61" s="127"/>
      <c r="E61" s="127"/>
      <c r="F61" s="127"/>
      <c r="G61" s="123" t="n">
        <f aca="false">CÁLCULOS!E35</f>
        <v>10000</v>
      </c>
      <c r="H61" s="124" t="n">
        <f aca="false">K60</f>
        <v>0.0502380952380953</v>
      </c>
      <c r="I61" s="125" t="n">
        <f aca="false">G61*H61</f>
        <v>502.380952380952</v>
      </c>
      <c r="J61" s="37" t="n">
        <f aca="false">J60+D61-G61</f>
        <v>12000</v>
      </c>
      <c r="K61" s="39" t="n">
        <f aca="false">L61/J61</f>
        <v>0.0502380952380952</v>
      </c>
      <c r="L61" s="39" t="n">
        <f aca="false">L60+F61-I61</f>
        <v>602.857142857143</v>
      </c>
    </row>
    <row r="62" customFormat="false" ht="15.75" hidden="false" customHeight="false" outlineLevel="0" collapsed="false">
      <c r="B62" s="27" t="n">
        <f aca="false">'LIBRO DIARIO'!B98</f>
        <v>46037</v>
      </c>
      <c r="C62" s="25" t="s">
        <v>221</v>
      </c>
      <c r="D62" s="25" t="n">
        <f aca="false">CÁLCULOS!J113</f>
        <v>40000</v>
      </c>
      <c r="E62" s="34" t="n">
        <f aca="false">E58*1.1</f>
        <v>0.0605</v>
      </c>
      <c r="F62" s="39" t="n">
        <f aca="false">D62*E62</f>
        <v>2420</v>
      </c>
      <c r="G62" s="25"/>
      <c r="H62" s="39"/>
      <c r="I62" s="34"/>
      <c r="J62" s="25" t="n">
        <f aca="false">J61+D62-G62</f>
        <v>52000</v>
      </c>
      <c r="K62" s="39" t="n">
        <f aca="false">L62/J62</f>
        <v>0.0581318681318681</v>
      </c>
      <c r="L62" s="39" t="n">
        <f aca="false">L61+F62-I62</f>
        <v>3022.85714285714</v>
      </c>
    </row>
    <row r="63" customFormat="false" ht="15.75" hidden="false" customHeight="false" outlineLevel="0" collapsed="false">
      <c r="B63" s="27" t="n">
        <f aca="false">'LIBRO DIARIO'!B98</f>
        <v>46037</v>
      </c>
      <c r="C63" s="25" t="s">
        <v>218</v>
      </c>
      <c r="D63" s="25"/>
      <c r="E63" s="25"/>
      <c r="F63" s="25"/>
      <c r="G63" s="25" t="n">
        <f aca="false">CÁLCULOS!E110</f>
        <v>10000</v>
      </c>
      <c r="H63" s="39" t="n">
        <f aca="false">K62</f>
        <v>0.0581318681318681</v>
      </c>
      <c r="I63" s="34" t="n">
        <f aca="false">G63*H63</f>
        <v>581.318681318681</v>
      </c>
      <c r="J63" s="25" t="n">
        <f aca="false">J62+D63-G63</f>
        <v>42000</v>
      </c>
      <c r="K63" s="39" t="n">
        <f aca="false">L63/J63</f>
        <v>0.0581318681318681</v>
      </c>
      <c r="L63" s="39" t="n">
        <f aca="false">L62+F63-I63</f>
        <v>2441.53846153846</v>
      </c>
    </row>
    <row r="64" customFormat="false" ht="15.75" hidden="false" customHeight="false" outlineLevel="0" collapsed="false">
      <c r="B64" s="27" t="n">
        <f aca="false">'LIBRO DIARIO'!B98</f>
        <v>46037</v>
      </c>
      <c r="C64" s="25" t="s">
        <v>219</v>
      </c>
      <c r="D64" s="25"/>
      <c r="E64" s="25"/>
      <c r="F64" s="25"/>
      <c r="G64" s="25" t="n">
        <f aca="false">CÁLCULOS!E111</f>
        <v>12000</v>
      </c>
      <c r="H64" s="39" t="n">
        <f aca="false">K63</f>
        <v>0.0581318681318681</v>
      </c>
      <c r="I64" s="34" t="n">
        <f aca="false">G64*H64</f>
        <v>697.582417582418</v>
      </c>
      <c r="J64" s="25" t="n">
        <f aca="false">J63+D64-G64</f>
        <v>30000</v>
      </c>
      <c r="K64" s="39" t="n">
        <f aca="false">L64/J64</f>
        <v>0.0581318681318681</v>
      </c>
      <c r="L64" s="39" t="n">
        <f aca="false">L63+F64-I64</f>
        <v>1743.95604395604</v>
      </c>
    </row>
    <row r="65" customFormat="false" ht="15.75" hidden="false" customHeight="false" outlineLevel="0" collapsed="false">
      <c r="B65" s="27" t="n">
        <f aca="false">'LIBRO DIARIO'!B98</f>
        <v>46037</v>
      </c>
      <c r="C65" s="25" t="s">
        <v>220</v>
      </c>
      <c r="D65" s="25"/>
      <c r="E65" s="25"/>
      <c r="F65" s="25"/>
      <c r="G65" s="25" t="n">
        <f aca="false">CÁLCULOS!E112</f>
        <v>18000</v>
      </c>
      <c r="H65" s="39" t="n">
        <f aca="false">K64</f>
        <v>0.0581318681318681</v>
      </c>
      <c r="I65" s="34" t="n">
        <f aca="false">G65*H65</f>
        <v>1046.37362637363</v>
      </c>
      <c r="J65" s="37" t="n">
        <f aca="false">J64+D65-G65</f>
        <v>12000</v>
      </c>
      <c r="K65" s="39" t="n">
        <f aca="false">L65/J65</f>
        <v>0.0581318681318681</v>
      </c>
      <c r="L65" s="39" t="n">
        <f aca="false">L64+F65-I65</f>
        <v>697.582417582418</v>
      </c>
    </row>
    <row r="66" customFormat="false" ht="15.75" hidden="false" customHeight="false" outlineLevel="0" collapsed="false">
      <c r="B66" s="119"/>
      <c r="C66" s="23"/>
      <c r="D66" s="23"/>
      <c r="E66" s="23"/>
      <c r="F66" s="23"/>
      <c r="G66" s="23"/>
      <c r="H66" s="120"/>
      <c r="I66" s="121"/>
      <c r="J66" s="23"/>
      <c r="K66" s="120"/>
      <c r="L66" s="120"/>
    </row>
    <row r="67" customFormat="false" ht="15.75" hidden="false" customHeight="false" outlineLevel="0" collapsed="false">
      <c r="B67" s="119"/>
      <c r="C67" s="23"/>
      <c r="D67" s="23"/>
      <c r="E67" s="23"/>
      <c r="F67" s="23"/>
      <c r="G67" s="23"/>
      <c r="H67" s="120"/>
      <c r="I67" s="121"/>
      <c r="J67" s="23"/>
      <c r="K67" s="120"/>
      <c r="L67" s="120"/>
    </row>
    <row r="69" customFormat="false" ht="15.75" hidden="false" customHeight="false" outlineLevel="0" collapsed="false">
      <c r="B69" s="23" t="s">
        <v>205</v>
      </c>
      <c r="C69" s="23" t="s">
        <v>7</v>
      </c>
      <c r="D69" s="23"/>
      <c r="E69" s="23"/>
      <c r="F69" s="23"/>
      <c r="G69" s="23"/>
      <c r="H69" s="23"/>
      <c r="I69" s="23"/>
      <c r="J69" s="23"/>
      <c r="K69" s="23"/>
      <c r="L69" s="23"/>
    </row>
    <row r="70" customFormat="false" ht="15.75" hidden="false" customHeight="false" outlineLevel="0" collapsed="false">
      <c r="B70" s="23" t="s">
        <v>228</v>
      </c>
      <c r="C70" s="23"/>
      <c r="D70" s="23"/>
      <c r="E70" s="23"/>
      <c r="F70" s="23" t="s">
        <v>208</v>
      </c>
      <c r="G70" s="23"/>
      <c r="H70" s="23" t="s">
        <v>209</v>
      </c>
      <c r="I70" s="23"/>
      <c r="J70" s="23"/>
      <c r="K70" s="23" t="s">
        <v>210</v>
      </c>
      <c r="L70" s="23" t="n">
        <v>5</v>
      </c>
    </row>
    <row r="71" customFormat="false" ht="15.75" hidden="false" customHeight="false" outlineLevel="0" collapsed="false">
      <c r="B71" s="23"/>
      <c r="C71" s="23"/>
      <c r="D71" s="28" t="s">
        <v>211</v>
      </c>
      <c r="E71" s="28"/>
      <c r="F71" s="28"/>
      <c r="G71" s="28" t="s">
        <v>212</v>
      </c>
      <c r="H71" s="28"/>
      <c r="I71" s="28"/>
      <c r="J71" s="28" t="s">
        <v>213</v>
      </c>
      <c r="K71" s="28"/>
      <c r="L71" s="28"/>
    </row>
    <row r="72" customFormat="false" ht="15.75" hidden="false" customHeight="false" outlineLevel="0" collapsed="false">
      <c r="B72" s="37" t="s">
        <v>44</v>
      </c>
      <c r="C72" s="37" t="s">
        <v>45</v>
      </c>
      <c r="D72" s="115" t="s">
        <v>214</v>
      </c>
      <c r="E72" s="106" t="s">
        <v>215</v>
      </c>
      <c r="F72" s="106" t="s">
        <v>191</v>
      </c>
      <c r="G72" s="116" t="s">
        <v>214</v>
      </c>
      <c r="H72" s="117" t="s">
        <v>215</v>
      </c>
      <c r="I72" s="117" t="s">
        <v>191</v>
      </c>
      <c r="J72" s="103" t="s">
        <v>214</v>
      </c>
      <c r="K72" s="118" t="s">
        <v>215</v>
      </c>
      <c r="L72" s="118" t="s">
        <v>191</v>
      </c>
    </row>
    <row r="73" customFormat="false" ht="15.75" hidden="false" customHeight="false" outlineLevel="0" collapsed="false">
      <c r="B73" s="27" t="n">
        <f aca="false">'LIBRO DIARIO'!B7</f>
        <v>46027</v>
      </c>
      <c r="C73" s="25" t="s">
        <v>216</v>
      </c>
      <c r="D73" s="25" t="n">
        <v>300000</v>
      </c>
      <c r="E73" s="128" t="n">
        <f aca="false">3/3000</f>
        <v>0.001</v>
      </c>
      <c r="F73" s="39" t="n">
        <f aca="false">D73*E73</f>
        <v>300</v>
      </c>
      <c r="G73" s="25"/>
      <c r="H73" s="25"/>
      <c r="I73" s="25"/>
      <c r="J73" s="25" t="n">
        <f aca="false">D73-G73</f>
        <v>300000</v>
      </c>
      <c r="K73" s="129" t="n">
        <f aca="false">L73/J73</f>
        <v>0.001</v>
      </c>
      <c r="L73" s="39" t="n">
        <f aca="false">F73-I73</f>
        <v>300</v>
      </c>
    </row>
    <row r="74" customFormat="false" ht="15.75" hidden="false" customHeight="false" outlineLevel="0" collapsed="false">
      <c r="B74" s="130" t="n">
        <v>46027</v>
      </c>
      <c r="C74" s="131" t="s">
        <v>217</v>
      </c>
      <c r="D74" s="132" t="n">
        <v>0</v>
      </c>
      <c r="E74" s="133" t="n">
        <v>0</v>
      </c>
      <c r="F74" s="134" t="n">
        <f aca="false">D74*E74</f>
        <v>0</v>
      </c>
      <c r="G74" s="132"/>
      <c r="H74" s="132"/>
      <c r="I74" s="132"/>
      <c r="J74" s="132" t="n">
        <f aca="false">J73+D74-G74</f>
        <v>300000</v>
      </c>
      <c r="K74" s="129" t="n">
        <f aca="false">L74/J74</f>
        <v>0.001</v>
      </c>
      <c r="L74" s="134" t="n">
        <f aca="false">L73+F74-I74</f>
        <v>300</v>
      </c>
    </row>
    <row r="75" customFormat="false" ht="15.75" hidden="false" customHeight="false" outlineLevel="0" collapsed="false">
      <c r="B75" s="122" t="n">
        <v>46027</v>
      </c>
      <c r="C75" s="123" t="s">
        <v>218</v>
      </c>
      <c r="D75" s="123"/>
      <c r="E75" s="123"/>
      <c r="F75" s="123"/>
      <c r="G75" s="123" t="n">
        <f aca="false">CÁLCULOS!E42</f>
        <v>16000</v>
      </c>
      <c r="H75" s="135" t="n">
        <f aca="false">K74</f>
        <v>0.001</v>
      </c>
      <c r="I75" s="125" t="n">
        <f aca="false">G75*H75</f>
        <v>16</v>
      </c>
      <c r="J75" s="132" t="n">
        <f aca="false">J74+D75-G75</f>
        <v>284000</v>
      </c>
      <c r="K75" s="129" t="n">
        <f aca="false">L75/J75</f>
        <v>0.001</v>
      </c>
      <c r="L75" s="134" t="n">
        <f aca="false">L74+F75-I75</f>
        <v>284</v>
      </c>
    </row>
    <row r="76" customFormat="false" ht="15.75" hidden="false" customHeight="false" outlineLevel="0" collapsed="false">
      <c r="B76" s="126" t="n">
        <v>46027</v>
      </c>
      <c r="C76" s="127" t="s">
        <v>219</v>
      </c>
      <c r="D76" s="127"/>
      <c r="E76" s="127"/>
      <c r="F76" s="127"/>
      <c r="G76" s="123" t="n">
        <f aca="false">CÁLCULOS!E43</f>
        <v>30000</v>
      </c>
      <c r="H76" s="135" t="n">
        <f aca="false">K75</f>
        <v>0.001</v>
      </c>
      <c r="I76" s="125" t="n">
        <f aca="false">G76*H76</f>
        <v>30</v>
      </c>
      <c r="J76" s="132" t="n">
        <f aca="false">J75+D76-G76</f>
        <v>254000</v>
      </c>
      <c r="K76" s="129" t="n">
        <f aca="false">L76/J76</f>
        <v>0.001</v>
      </c>
      <c r="L76" s="134" t="n">
        <f aca="false">L75+F76-I76</f>
        <v>254</v>
      </c>
    </row>
    <row r="77" customFormat="false" ht="15.75" hidden="false" customHeight="false" outlineLevel="0" collapsed="false">
      <c r="B77" s="126" t="n">
        <v>46027</v>
      </c>
      <c r="C77" s="127" t="s">
        <v>220</v>
      </c>
      <c r="D77" s="127"/>
      <c r="E77" s="127"/>
      <c r="F77" s="127"/>
      <c r="G77" s="123" t="n">
        <f aca="false">CÁLCULOS!E44</f>
        <v>30000</v>
      </c>
      <c r="H77" s="135" t="n">
        <f aca="false">K76</f>
        <v>0.001</v>
      </c>
      <c r="I77" s="125" t="n">
        <f aca="false">G77*H77</f>
        <v>30</v>
      </c>
      <c r="J77" s="132" t="n">
        <f aca="false">J76+D77-G77</f>
        <v>224000</v>
      </c>
      <c r="K77" s="129" t="n">
        <f aca="false">L77/J77</f>
        <v>0.001</v>
      </c>
      <c r="L77" s="134" t="n">
        <f aca="false">L76+F77-I77</f>
        <v>224</v>
      </c>
    </row>
    <row r="78" customFormat="false" ht="15.75" hidden="false" customHeight="false" outlineLevel="0" collapsed="false">
      <c r="B78" s="27" t="n">
        <f aca="false">'LIBRO DIARIO'!B156</f>
        <v>0</v>
      </c>
      <c r="C78" s="25" t="s">
        <v>221</v>
      </c>
      <c r="D78" s="25" t="n">
        <f aca="false">CÁLCULOS!E144</f>
        <v>0</v>
      </c>
      <c r="E78" s="34" t="n">
        <f aca="false">E74*1.1</f>
        <v>0</v>
      </c>
      <c r="F78" s="39" t="n">
        <f aca="false">D78*E78</f>
        <v>0</v>
      </c>
      <c r="G78" s="25"/>
      <c r="H78" s="39"/>
      <c r="I78" s="34"/>
      <c r="J78" s="25" t="n">
        <f aca="false">J77+D78-G78</f>
        <v>224000</v>
      </c>
      <c r="K78" s="136" t="n">
        <f aca="false">L78/J78</f>
        <v>0.001</v>
      </c>
      <c r="L78" s="39" t="n">
        <f aca="false">L77+F78-I78</f>
        <v>224</v>
      </c>
    </row>
    <row r="79" customFormat="false" ht="15.75" hidden="false" customHeight="false" outlineLevel="0" collapsed="false">
      <c r="B79" s="27" t="n">
        <f aca="false">'LIBRO DIARIO'!B98</f>
        <v>46037</v>
      </c>
      <c r="C79" s="25" t="s">
        <v>218</v>
      </c>
      <c r="D79" s="25"/>
      <c r="E79" s="25"/>
      <c r="F79" s="25"/>
      <c r="G79" s="25" t="n">
        <f aca="false">CÁLCULOS!E119</f>
        <v>20000</v>
      </c>
      <c r="H79" s="39" t="n">
        <f aca="false">K78</f>
        <v>0.001</v>
      </c>
      <c r="I79" s="34" t="n">
        <f aca="false">G79*H79</f>
        <v>20</v>
      </c>
      <c r="J79" s="25" t="n">
        <f aca="false">J78+D79-G79</f>
        <v>204000</v>
      </c>
      <c r="K79" s="136" t="n">
        <f aca="false">L79/J79</f>
        <v>0.001</v>
      </c>
      <c r="L79" s="39" t="n">
        <f aca="false">L78+F79-I79</f>
        <v>204</v>
      </c>
    </row>
    <row r="80" customFormat="false" ht="15.75" hidden="false" customHeight="false" outlineLevel="0" collapsed="false">
      <c r="B80" s="27" t="n">
        <f aca="false">'LIBRO DIARIO'!B98</f>
        <v>46037</v>
      </c>
      <c r="C80" s="25" t="s">
        <v>219</v>
      </c>
      <c r="D80" s="25"/>
      <c r="E80" s="25"/>
      <c r="F80" s="25"/>
      <c r="G80" s="25" t="n">
        <f aca="false">CÁLCULOS!E120</f>
        <v>30000</v>
      </c>
      <c r="H80" s="39" t="n">
        <f aca="false">K79</f>
        <v>0.001</v>
      </c>
      <c r="I80" s="34" t="n">
        <f aca="false">G80*H80</f>
        <v>30</v>
      </c>
      <c r="J80" s="25" t="n">
        <f aca="false">J79+D80-G80</f>
        <v>174000</v>
      </c>
      <c r="K80" s="136" t="n">
        <f aca="false">L80/J80</f>
        <v>0.001</v>
      </c>
      <c r="L80" s="39" t="n">
        <f aca="false">L79+F80-I80</f>
        <v>174</v>
      </c>
    </row>
    <row r="81" customFormat="false" ht="15.75" hidden="false" customHeight="false" outlineLevel="0" collapsed="false">
      <c r="B81" s="27" t="n">
        <f aca="false">'LIBRO DIARIO'!B98</f>
        <v>46037</v>
      </c>
      <c r="C81" s="25" t="s">
        <v>220</v>
      </c>
      <c r="D81" s="25"/>
      <c r="E81" s="25"/>
      <c r="F81" s="25"/>
      <c r="G81" s="25" t="n">
        <f aca="false">CÁLCULOS!E121</f>
        <v>54000</v>
      </c>
      <c r="H81" s="39" t="n">
        <f aca="false">K80</f>
        <v>0.001</v>
      </c>
      <c r="I81" s="34" t="n">
        <f aca="false">G81*H81</f>
        <v>54</v>
      </c>
      <c r="J81" s="25" t="n">
        <f aca="false">J80+D81-G81</f>
        <v>120000</v>
      </c>
      <c r="K81" s="136" t="n">
        <f aca="false">L81/J81</f>
        <v>0.001</v>
      </c>
      <c r="L81" s="39" t="n">
        <f aca="false">L80+F81-I81</f>
        <v>120</v>
      </c>
    </row>
    <row r="84" customFormat="false" ht="15.75" hidden="false" customHeight="false" outlineLevel="0" collapsed="false">
      <c r="B84" s="23" t="s">
        <v>205</v>
      </c>
      <c r="C84" s="23" t="str">
        <f aca="false">'LIBRO DIARIO'!C81</f>
        <v>PRODUCTO TERMINADO OP#100 TS</v>
      </c>
      <c r="D84" s="23"/>
      <c r="E84" s="23"/>
      <c r="F84" s="23"/>
      <c r="G84" s="23"/>
      <c r="H84" s="23"/>
      <c r="I84" s="23"/>
      <c r="J84" s="23"/>
      <c r="K84" s="23"/>
      <c r="L84" s="23"/>
    </row>
    <row r="85" customFormat="false" ht="15.75" hidden="false" customHeight="false" outlineLevel="0" collapsed="false">
      <c r="B85" s="23" t="s">
        <v>226</v>
      </c>
      <c r="C85" s="23"/>
      <c r="D85" s="23"/>
      <c r="E85" s="23"/>
      <c r="F85" s="23" t="s">
        <v>208</v>
      </c>
      <c r="G85" s="23"/>
      <c r="H85" s="23" t="s">
        <v>209</v>
      </c>
      <c r="I85" s="23"/>
      <c r="J85" s="23"/>
      <c r="K85" s="23" t="s">
        <v>210</v>
      </c>
      <c r="L85" s="23" t="n">
        <v>6</v>
      </c>
    </row>
    <row r="86" customFormat="false" ht="15.75" hidden="false" customHeight="false" outlineLevel="0" collapsed="false">
      <c r="B86" s="23"/>
      <c r="C86" s="23"/>
      <c r="D86" s="28" t="s">
        <v>211</v>
      </c>
      <c r="E86" s="28"/>
      <c r="F86" s="28"/>
      <c r="G86" s="28" t="s">
        <v>212</v>
      </c>
      <c r="H86" s="28"/>
      <c r="I86" s="28"/>
      <c r="J86" s="28" t="s">
        <v>213</v>
      </c>
      <c r="K86" s="28"/>
      <c r="L86" s="28"/>
    </row>
    <row r="87" customFormat="false" ht="15.75" hidden="false" customHeight="false" outlineLevel="0" collapsed="false">
      <c r="B87" s="37" t="s">
        <v>44</v>
      </c>
      <c r="C87" s="37" t="s">
        <v>45</v>
      </c>
      <c r="D87" s="115" t="s">
        <v>214</v>
      </c>
      <c r="E87" s="106" t="s">
        <v>215</v>
      </c>
      <c r="F87" s="106" t="s">
        <v>191</v>
      </c>
      <c r="G87" s="116" t="s">
        <v>214</v>
      </c>
      <c r="H87" s="117" t="s">
        <v>215</v>
      </c>
      <c r="I87" s="117" t="s">
        <v>191</v>
      </c>
      <c r="J87" s="103" t="s">
        <v>214</v>
      </c>
      <c r="K87" s="118" t="s">
        <v>215</v>
      </c>
      <c r="L87" s="118" t="s">
        <v>191</v>
      </c>
    </row>
    <row r="88" customFormat="false" ht="15.75" hidden="false" customHeight="false" outlineLevel="0" collapsed="false">
      <c r="B88" s="27" t="n">
        <f aca="false">'LIBRO DIARIO'!B80</f>
        <v>46036</v>
      </c>
      <c r="C88" s="25" t="s">
        <v>229</v>
      </c>
      <c r="D88" s="25" t="n">
        <f aca="false">'ORDEN P'!B10</f>
        <v>4000</v>
      </c>
      <c r="E88" s="30" t="n">
        <f aca="false">F88/D88</f>
        <v>5.37467376219228</v>
      </c>
      <c r="F88" s="39" t="n">
        <f aca="false">'LIBRO DIARIO'!F81</f>
        <v>21498.6950487691</v>
      </c>
      <c r="G88" s="25"/>
      <c r="H88" s="25"/>
      <c r="I88" s="25"/>
      <c r="J88" s="25" t="n">
        <f aca="false">D88-G88</f>
        <v>4000</v>
      </c>
      <c r="K88" s="39" t="n">
        <f aca="false">L88/J88</f>
        <v>5.37467376219228</v>
      </c>
      <c r="L88" s="39" t="n">
        <f aca="false">F88-I88</f>
        <v>21498.6950487691</v>
      </c>
    </row>
    <row r="89" customFormat="false" ht="15.75" hidden="false" customHeight="false" outlineLevel="0" collapsed="false">
      <c r="B89" s="27" t="n">
        <f aca="false">'LIBRO DIARIO'!B92</f>
        <v>46036</v>
      </c>
      <c r="C89" s="25" t="s">
        <v>230</v>
      </c>
      <c r="D89" s="25"/>
      <c r="E89" s="34"/>
      <c r="F89" s="39"/>
      <c r="G89" s="25" t="n">
        <f aca="false">'ORDEN P'!B10</f>
        <v>4000</v>
      </c>
      <c r="H89" s="39" t="n">
        <f aca="false">K88</f>
        <v>5.37467376219228</v>
      </c>
      <c r="I89" s="34" t="n">
        <f aca="false">G89*H89</f>
        <v>21498.6950487691</v>
      </c>
      <c r="J89" s="25" t="n">
        <f aca="false">J88+D89-G89</f>
        <v>0</v>
      </c>
      <c r="K89" s="39" t="e">
        <f aca="false">L89/J89</f>
        <v>#DIV/0!</v>
      </c>
      <c r="L89" s="39" t="n">
        <f aca="false">L88+F89-I89</f>
        <v>0</v>
      </c>
    </row>
    <row r="90" customFormat="false" ht="15.75" hidden="false" customHeight="false" outlineLevel="0" collapsed="false">
      <c r="B90" s="122"/>
      <c r="C90" s="123"/>
      <c r="D90" s="123"/>
      <c r="E90" s="123"/>
      <c r="F90" s="123"/>
      <c r="G90" s="123"/>
      <c r="H90" s="124"/>
      <c r="I90" s="125"/>
      <c r="J90" s="25" t="n">
        <f aca="false">J89+D90-G90</f>
        <v>0</v>
      </c>
      <c r="K90" s="39" t="e">
        <f aca="false">L90/J90</f>
        <v>#DIV/0!</v>
      </c>
      <c r="L90" s="39" t="n">
        <f aca="false">L89+F90-I90</f>
        <v>0</v>
      </c>
    </row>
    <row r="91" customFormat="false" ht="15.75" hidden="false" customHeight="false" outlineLevel="0" collapsed="false">
      <c r="B91" s="126"/>
      <c r="C91" s="127"/>
      <c r="D91" s="127"/>
      <c r="E91" s="127"/>
      <c r="F91" s="127"/>
      <c r="G91" s="123"/>
      <c r="H91" s="124"/>
      <c r="I91" s="125"/>
      <c r="J91" s="25" t="n">
        <f aca="false">J90+D91-G91</f>
        <v>0</v>
      </c>
      <c r="K91" s="39" t="e">
        <f aca="false">L91/J91</f>
        <v>#DIV/0!</v>
      </c>
      <c r="L91" s="39" t="n">
        <f aca="false">L90+F91-I91</f>
        <v>0</v>
      </c>
    </row>
    <row r="92" customFormat="false" ht="15.75" hidden="false" customHeight="false" outlineLevel="0" collapsed="false">
      <c r="B92" s="126"/>
      <c r="C92" s="127"/>
      <c r="D92" s="127"/>
      <c r="E92" s="127"/>
      <c r="F92" s="127"/>
      <c r="G92" s="123"/>
      <c r="H92" s="124"/>
      <c r="I92" s="125"/>
      <c r="J92" s="25" t="n">
        <f aca="false">J91+D92-G92</f>
        <v>0</v>
      </c>
      <c r="K92" s="39" t="e">
        <f aca="false">L92/J92</f>
        <v>#DIV/0!</v>
      </c>
      <c r="L92" s="39" t="n">
        <f aca="false">L91+F92-I92</f>
        <v>0</v>
      </c>
    </row>
    <row r="93" customFormat="false" ht="15.75" hidden="false" customHeight="false" outlineLevel="0" collapsed="false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.75" hidden="false" customHeight="false" outlineLevel="0" collapsed="false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8" customFormat="false" ht="15.75" hidden="false" customHeight="false" outlineLevel="0" collapsed="false">
      <c r="B98" s="23" t="s">
        <v>231</v>
      </c>
      <c r="C98" s="23" t="str">
        <f aca="false">'LIBRO DIARIO'!C82</f>
        <v>PRODUCTO TERMINADO OP#100 TM</v>
      </c>
      <c r="D98" s="23"/>
      <c r="E98" s="23"/>
      <c r="F98" s="23"/>
      <c r="G98" s="23"/>
      <c r="H98" s="23"/>
      <c r="I98" s="23"/>
      <c r="J98" s="23"/>
      <c r="K98" s="23"/>
      <c r="L98" s="23"/>
    </row>
    <row r="99" customFormat="false" ht="15.75" hidden="false" customHeight="false" outlineLevel="0" collapsed="false">
      <c r="B99" s="23" t="s">
        <v>226</v>
      </c>
      <c r="C99" s="23"/>
      <c r="D99" s="23"/>
      <c r="E99" s="23"/>
      <c r="F99" s="23" t="s">
        <v>208</v>
      </c>
      <c r="G99" s="23"/>
      <c r="H99" s="23" t="s">
        <v>209</v>
      </c>
      <c r="I99" s="23"/>
      <c r="J99" s="23"/>
      <c r="K99" s="23" t="s">
        <v>210</v>
      </c>
      <c r="L99" s="23" t="n">
        <v>7</v>
      </c>
    </row>
    <row r="100" customFormat="false" ht="15.75" hidden="false" customHeight="false" outlineLevel="0" collapsed="false">
      <c r="B100" s="23"/>
      <c r="C100" s="23"/>
      <c r="D100" s="28" t="s">
        <v>211</v>
      </c>
      <c r="E100" s="28"/>
      <c r="F100" s="28"/>
      <c r="G100" s="28" t="s">
        <v>212</v>
      </c>
      <c r="H100" s="28"/>
      <c r="I100" s="28"/>
      <c r="J100" s="28" t="s">
        <v>213</v>
      </c>
      <c r="K100" s="28"/>
      <c r="L100" s="28"/>
    </row>
    <row r="101" customFormat="false" ht="15.75" hidden="false" customHeight="false" outlineLevel="0" collapsed="false">
      <c r="B101" s="37" t="s">
        <v>44</v>
      </c>
      <c r="C101" s="37" t="s">
        <v>45</v>
      </c>
      <c r="D101" s="115" t="s">
        <v>214</v>
      </c>
      <c r="E101" s="106" t="s">
        <v>215</v>
      </c>
      <c r="F101" s="106" t="s">
        <v>191</v>
      </c>
      <c r="G101" s="116" t="s">
        <v>214</v>
      </c>
      <c r="H101" s="117" t="s">
        <v>215</v>
      </c>
      <c r="I101" s="117" t="s">
        <v>191</v>
      </c>
      <c r="J101" s="103" t="s">
        <v>214</v>
      </c>
      <c r="K101" s="118" t="s">
        <v>215</v>
      </c>
      <c r="L101" s="118" t="s">
        <v>191</v>
      </c>
    </row>
    <row r="102" customFormat="false" ht="15.75" hidden="false" customHeight="false" outlineLevel="0" collapsed="false">
      <c r="B102" s="27" t="n">
        <f aca="false">'LIBRO DIARIO'!B80</f>
        <v>46036</v>
      </c>
      <c r="C102" s="25" t="s">
        <v>229</v>
      </c>
      <c r="D102" s="25" t="n">
        <f aca="false">'ORDEN P'!B11</f>
        <v>6000</v>
      </c>
      <c r="E102" s="30" t="n">
        <f aca="false">F102/D102</f>
        <v>5.86930150483673</v>
      </c>
      <c r="F102" s="39" t="n">
        <f aca="false">'LIBRO DIARIO'!F82</f>
        <v>35215.8090290204</v>
      </c>
      <c r="G102" s="25"/>
      <c r="H102" s="25"/>
      <c r="I102" s="25"/>
      <c r="J102" s="25" t="n">
        <f aca="false">D102-G102</f>
        <v>6000</v>
      </c>
      <c r="K102" s="39" t="n">
        <f aca="false">L102/J102</f>
        <v>5.86930150483673</v>
      </c>
      <c r="L102" s="39" t="n">
        <f aca="false">F102-I102</f>
        <v>35215.8090290204</v>
      </c>
    </row>
    <row r="103" customFormat="false" ht="15.75" hidden="false" customHeight="false" outlineLevel="0" collapsed="false">
      <c r="B103" s="27" t="n">
        <f aca="false">'LIBRO DIARIO'!B92</f>
        <v>46036</v>
      </c>
      <c r="C103" s="25" t="s">
        <v>230</v>
      </c>
      <c r="D103" s="25"/>
      <c r="E103" s="34"/>
      <c r="F103" s="39"/>
      <c r="G103" s="25" t="n">
        <f aca="false">'ORDEN P'!B11</f>
        <v>6000</v>
      </c>
      <c r="H103" s="39" t="n">
        <f aca="false">K102</f>
        <v>5.86930150483673</v>
      </c>
      <c r="I103" s="34" t="n">
        <f aca="false">G103*H103</f>
        <v>35215.8090290204</v>
      </c>
      <c r="J103" s="25" t="n">
        <f aca="false">J102+D103-G103</f>
        <v>0</v>
      </c>
      <c r="K103" s="39" t="e">
        <f aca="false">L103/J103</f>
        <v>#DIV/0!</v>
      </c>
      <c r="L103" s="39" t="n">
        <f aca="false">L102+F103-I103</f>
        <v>0</v>
      </c>
    </row>
    <row r="104" customFormat="false" ht="15.75" hidden="false" customHeight="false" outlineLevel="0" collapsed="false">
      <c r="B104" s="122"/>
      <c r="C104" s="123"/>
      <c r="D104" s="123"/>
      <c r="E104" s="123"/>
      <c r="F104" s="123"/>
      <c r="G104" s="123"/>
      <c r="H104" s="124"/>
      <c r="I104" s="125"/>
      <c r="J104" s="25" t="n">
        <f aca="false">J103+D104-G104</f>
        <v>0</v>
      </c>
      <c r="K104" s="39" t="e">
        <f aca="false">L104/J104</f>
        <v>#DIV/0!</v>
      </c>
      <c r="L104" s="39" t="n">
        <f aca="false">L103+F104-I104</f>
        <v>0</v>
      </c>
    </row>
    <row r="105" customFormat="false" ht="15.75" hidden="false" customHeight="false" outlineLevel="0" collapsed="false">
      <c r="B105" s="126"/>
      <c r="C105" s="127"/>
      <c r="D105" s="127"/>
      <c r="E105" s="127"/>
      <c r="F105" s="127"/>
      <c r="G105" s="123"/>
      <c r="H105" s="124"/>
      <c r="I105" s="125"/>
      <c r="J105" s="25" t="n">
        <f aca="false">J104+D105-G105</f>
        <v>0</v>
      </c>
      <c r="K105" s="39" t="e">
        <f aca="false">L105/J105</f>
        <v>#DIV/0!</v>
      </c>
      <c r="L105" s="39" t="n">
        <f aca="false">L104+F105-I105</f>
        <v>0</v>
      </c>
    </row>
    <row r="106" customFormat="false" ht="15.75" hidden="false" customHeight="false" outlineLevel="0" collapsed="false">
      <c r="B106" s="126"/>
      <c r="C106" s="127"/>
      <c r="D106" s="127"/>
      <c r="E106" s="127"/>
      <c r="F106" s="127"/>
      <c r="G106" s="123"/>
      <c r="H106" s="124"/>
      <c r="I106" s="125"/>
      <c r="J106" s="25" t="n">
        <f aca="false">J105+D106-G106</f>
        <v>0</v>
      </c>
      <c r="K106" s="39" t="e">
        <f aca="false">L106/J106</f>
        <v>#DIV/0!</v>
      </c>
      <c r="L106" s="39" t="n">
        <f aca="false">L105+F106-I106</f>
        <v>0</v>
      </c>
    </row>
    <row r="107" customFormat="false" ht="15.75" hidden="false" customHeight="false" outlineLevel="0" collapsed="false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customFormat="false" ht="15.75" hidden="false" customHeight="false" outlineLevel="0" collapsed="false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12" customFormat="false" ht="15.75" hidden="false" customHeight="false" outlineLevel="0" collapsed="false">
      <c r="B112" s="23" t="s">
        <v>231</v>
      </c>
      <c r="C112" s="23" t="str">
        <f aca="false">'LIBRO DIARIO'!C83</f>
        <v>PRODUCTO TERMINADO OP#100 TL</v>
      </c>
      <c r="D112" s="23"/>
      <c r="E112" s="23"/>
      <c r="F112" s="23"/>
      <c r="G112" s="23"/>
      <c r="H112" s="23"/>
      <c r="I112" s="23"/>
      <c r="J112" s="23"/>
      <c r="K112" s="23"/>
      <c r="L112" s="23"/>
    </row>
    <row r="113" customFormat="false" ht="15.75" hidden="false" customHeight="false" outlineLevel="0" collapsed="false">
      <c r="B113" s="23" t="s">
        <v>226</v>
      </c>
      <c r="C113" s="23"/>
      <c r="D113" s="23"/>
      <c r="E113" s="23"/>
      <c r="F113" s="23" t="s">
        <v>208</v>
      </c>
      <c r="G113" s="23"/>
      <c r="H113" s="23" t="s">
        <v>209</v>
      </c>
      <c r="I113" s="23"/>
      <c r="J113" s="23"/>
      <c r="K113" s="23" t="s">
        <v>210</v>
      </c>
      <c r="L113" s="23" t="n">
        <v>8</v>
      </c>
    </row>
    <row r="114" customFormat="false" ht="15.75" hidden="false" customHeight="false" outlineLevel="0" collapsed="false">
      <c r="B114" s="23"/>
      <c r="C114" s="23"/>
      <c r="D114" s="28" t="s">
        <v>211</v>
      </c>
      <c r="E114" s="28"/>
      <c r="F114" s="28"/>
      <c r="G114" s="28" t="s">
        <v>212</v>
      </c>
      <c r="H114" s="28"/>
      <c r="I114" s="28"/>
      <c r="J114" s="28" t="s">
        <v>213</v>
      </c>
      <c r="K114" s="28"/>
      <c r="L114" s="28"/>
    </row>
    <row r="115" customFormat="false" ht="15.75" hidden="false" customHeight="false" outlineLevel="0" collapsed="false">
      <c r="B115" s="37" t="s">
        <v>44</v>
      </c>
      <c r="C115" s="37" t="s">
        <v>45</v>
      </c>
      <c r="D115" s="115" t="s">
        <v>214</v>
      </c>
      <c r="E115" s="106" t="s">
        <v>215</v>
      </c>
      <c r="F115" s="106" t="s">
        <v>191</v>
      </c>
      <c r="G115" s="116" t="s">
        <v>214</v>
      </c>
      <c r="H115" s="117" t="s">
        <v>215</v>
      </c>
      <c r="I115" s="117" t="s">
        <v>191</v>
      </c>
      <c r="J115" s="103" t="s">
        <v>214</v>
      </c>
      <c r="K115" s="118" t="s">
        <v>215</v>
      </c>
      <c r="L115" s="118" t="s">
        <v>191</v>
      </c>
    </row>
    <row r="116" customFormat="false" ht="15.75" hidden="false" customHeight="false" outlineLevel="0" collapsed="false">
      <c r="B116" s="27" t="n">
        <f aca="false">'LIBRO DIARIO'!B80</f>
        <v>46036</v>
      </c>
      <c r="C116" s="25" t="s">
        <v>229</v>
      </c>
      <c r="D116" s="25" t="n">
        <f aca="false">'ORDEN P'!B12</f>
        <v>5000</v>
      </c>
      <c r="E116" s="30" t="n">
        <f aca="false">F116/D116</f>
        <v>6.80810035141729</v>
      </c>
      <c r="F116" s="39" t="n">
        <f aca="false">'LIBRO DIARIO'!F83</f>
        <v>34040.5017570865</v>
      </c>
      <c r="G116" s="25"/>
      <c r="H116" s="25"/>
      <c r="I116" s="25"/>
      <c r="J116" s="25" t="n">
        <f aca="false">D116-G116</f>
        <v>5000</v>
      </c>
      <c r="K116" s="39" t="n">
        <f aca="false">L116/J116</f>
        <v>6.80810035141729</v>
      </c>
      <c r="L116" s="39" t="n">
        <f aca="false">F116-I116</f>
        <v>34040.5017570865</v>
      </c>
    </row>
    <row r="117" customFormat="false" ht="15.75" hidden="false" customHeight="false" outlineLevel="0" collapsed="false">
      <c r="B117" s="122"/>
      <c r="C117" s="123" t="s">
        <v>230</v>
      </c>
      <c r="D117" s="123"/>
      <c r="E117" s="125"/>
      <c r="F117" s="124"/>
      <c r="G117" s="123" t="n">
        <f aca="false">'ORDEN P'!B12</f>
        <v>5000</v>
      </c>
      <c r="H117" s="124" t="n">
        <f aca="false">K116</f>
        <v>6.80810035141729</v>
      </c>
      <c r="I117" s="125" t="n">
        <f aca="false">G117*H117</f>
        <v>34040.5017570865</v>
      </c>
      <c r="J117" s="123" t="n">
        <v>0</v>
      </c>
      <c r="K117" s="124" t="e">
        <f aca="false">#DIV/0!</f>
        <v>#DIV/0!</v>
      </c>
      <c r="L117" s="124" t="s">
        <v>232</v>
      </c>
    </row>
    <row r="118" customFormat="false" ht="15.75" hidden="false" customHeight="false" outlineLevel="0" collapsed="false">
      <c r="B118" s="122"/>
      <c r="C118" s="123"/>
      <c r="D118" s="123"/>
      <c r="E118" s="123"/>
      <c r="F118" s="123"/>
      <c r="G118" s="123"/>
      <c r="H118" s="124"/>
      <c r="I118" s="125"/>
      <c r="J118" s="25" t="n">
        <f aca="false">J117+D118-G118</f>
        <v>0</v>
      </c>
      <c r="K118" s="39" t="e">
        <f aca="false">L118/J118</f>
        <v>#VALUE!</v>
      </c>
      <c r="L118" s="39" t="e">
        <f aca="false">L117+F118-I118</f>
        <v>#VALUE!</v>
      </c>
    </row>
    <row r="119" customFormat="false" ht="15.75" hidden="false" customHeight="false" outlineLevel="0" collapsed="false">
      <c r="B119" s="126"/>
      <c r="C119" s="127"/>
      <c r="D119" s="127"/>
      <c r="E119" s="127"/>
      <c r="F119" s="127"/>
      <c r="G119" s="123"/>
      <c r="H119" s="124"/>
      <c r="I119" s="125"/>
      <c r="J119" s="25" t="n">
        <f aca="false">J118+D119-G119</f>
        <v>0</v>
      </c>
      <c r="K119" s="39" t="e">
        <f aca="false">L119/J119</f>
        <v>#VALUE!</v>
      </c>
      <c r="L119" s="39" t="e">
        <f aca="false">L118+F119-I119</f>
        <v>#VALUE!</v>
      </c>
    </row>
    <row r="120" customFormat="false" ht="15.75" hidden="false" customHeight="false" outlineLevel="0" collapsed="false">
      <c r="B120" s="126"/>
      <c r="C120" s="127"/>
      <c r="D120" s="127"/>
      <c r="E120" s="127"/>
      <c r="F120" s="127"/>
      <c r="G120" s="123"/>
      <c r="H120" s="124"/>
      <c r="I120" s="125"/>
      <c r="J120" s="25" t="n">
        <f aca="false">J119+D120-G120</f>
        <v>0</v>
      </c>
      <c r="K120" s="39" t="e">
        <f aca="false">L120/J120</f>
        <v>#VALUE!</v>
      </c>
      <c r="L120" s="39" t="e">
        <f aca="false">L119+F120-I120</f>
        <v>#VALUE!</v>
      </c>
    </row>
    <row r="121" customFormat="false" ht="15.75" hidden="false" customHeight="false" outlineLevel="0" collapsed="false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customFormat="false" ht="15.75" hidden="false" customHeight="false" outlineLevel="0" collapsed="false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</sheetData>
  <mergeCells count="26">
    <mergeCell ref="B2:L2"/>
    <mergeCell ref="B3:L3"/>
    <mergeCell ref="D7:F7"/>
    <mergeCell ref="G7:I7"/>
    <mergeCell ref="J7:L7"/>
    <mergeCell ref="D23:F23"/>
    <mergeCell ref="G23:I23"/>
    <mergeCell ref="J23:L23"/>
    <mergeCell ref="D39:F39"/>
    <mergeCell ref="G39:I39"/>
    <mergeCell ref="J39:L39"/>
    <mergeCell ref="D55:F55"/>
    <mergeCell ref="G55:I55"/>
    <mergeCell ref="J55:L55"/>
    <mergeCell ref="D71:F71"/>
    <mergeCell ref="G71:I71"/>
    <mergeCell ref="J71:L71"/>
    <mergeCell ref="D86:F86"/>
    <mergeCell ref="G86:I86"/>
    <mergeCell ref="J86:L86"/>
    <mergeCell ref="D100:F100"/>
    <mergeCell ref="G100:I100"/>
    <mergeCell ref="J100:L100"/>
    <mergeCell ref="D114:F114"/>
    <mergeCell ref="G114:I114"/>
    <mergeCell ref="J114:L1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52"/>
  <sheetViews>
    <sheetView showFormulas="false" showGridLines="true" showRowColHeaders="true" showZeros="true" rightToLeft="false" tabSelected="false" showOutlineSymbols="true" defaultGridColor="true" view="normal" topLeftCell="A117" colorId="64" zoomScale="116" zoomScaleNormal="116" zoomScalePageLayoutView="100" workbookViewId="0">
      <selection pane="topLeft" activeCell="G142" activeCellId="0" sqref="G142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1" width="14.82"/>
    <col collapsed="false" customWidth="true" hidden="false" outlineLevel="0" max="3" min="3" style="1" width="14.16"/>
    <col collapsed="false" customWidth="true" hidden="false" outlineLevel="0" max="4" min="4" style="1" width="17.17"/>
    <col collapsed="false" customWidth="true" hidden="false" outlineLevel="0" max="5" min="5" style="1" width="15.66"/>
    <col collapsed="false" customWidth="true" hidden="false" outlineLevel="0" max="6" min="6" style="1" width="12.83"/>
    <col collapsed="false" customWidth="true" hidden="false" outlineLevel="0" max="7" min="7" style="1" width="13.33"/>
    <col collapsed="false" customWidth="true" hidden="false" outlineLevel="0" max="8" min="8" style="1" width="12.66"/>
    <col collapsed="false" customWidth="true" hidden="false" outlineLevel="0" max="9" min="9" style="1" width="13"/>
    <col collapsed="false" customWidth="true" hidden="false" outlineLevel="0" max="10" min="10" style="1" width="17.5"/>
  </cols>
  <sheetData>
    <row r="2" customFormat="false" ht="16.5" hidden="false" customHeight="true" outlineLevel="0" collapsed="false">
      <c r="B2" s="22" t="s">
        <v>188</v>
      </c>
      <c r="C2" s="22"/>
      <c r="D2" s="22"/>
      <c r="E2" s="22"/>
      <c r="F2" s="22"/>
      <c r="G2" s="22"/>
      <c r="H2" s="22"/>
      <c r="I2" s="22"/>
      <c r="J2" s="22"/>
    </row>
    <row r="3" customFormat="false" ht="16.5" hidden="false" customHeight="true" outlineLevel="0" collapsed="false">
      <c r="B3" s="137" t="s">
        <v>3</v>
      </c>
      <c r="C3" s="23"/>
    </row>
    <row r="4" customFormat="false" ht="15.75" hidden="false" customHeight="false" outlineLevel="0" collapsed="false">
      <c r="B4" s="138" t="s">
        <v>233</v>
      </c>
      <c r="C4" s="139" t="s">
        <v>26</v>
      </c>
      <c r="D4" s="139" t="s">
        <v>234</v>
      </c>
      <c r="E4" s="140" t="s">
        <v>235</v>
      </c>
      <c r="F4" s="140"/>
      <c r="G4" s="141" t="s">
        <v>236</v>
      </c>
      <c r="H4" s="141" t="s">
        <v>237</v>
      </c>
      <c r="I4" s="141" t="s">
        <v>238</v>
      </c>
      <c r="J4" s="142" t="s">
        <v>239</v>
      </c>
    </row>
    <row r="5" customFormat="false" ht="15.75" hidden="false" customHeight="false" outlineLevel="0" collapsed="false">
      <c r="B5" s="143" t="s">
        <v>240</v>
      </c>
      <c r="C5" s="24" t="n">
        <f aca="false">'ORDEN P'!B10</f>
        <v>4000</v>
      </c>
      <c r="D5" s="24" t="n">
        <v>80</v>
      </c>
      <c r="E5" s="24" t="n">
        <f aca="false">C5*D5</f>
        <v>320000</v>
      </c>
      <c r="F5" s="24" t="n">
        <f aca="false">E5/100</f>
        <v>3200</v>
      </c>
      <c r="J5" s="144"/>
    </row>
    <row r="6" customFormat="false" ht="15.75" hidden="false" customHeight="false" outlineLevel="0" collapsed="false">
      <c r="B6" s="143" t="s">
        <v>241</v>
      </c>
      <c r="C6" s="24" t="n">
        <f aca="false">'ORDEN P'!B11</f>
        <v>6000</v>
      </c>
      <c r="D6" s="24" t="n">
        <v>90</v>
      </c>
      <c r="E6" s="24" t="n">
        <f aca="false">C6*D6</f>
        <v>540000</v>
      </c>
      <c r="F6" s="24" t="n">
        <f aca="false">E6/100</f>
        <v>5400</v>
      </c>
      <c r="J6" s="144"/>
    </row>
    <row r="7" customFormat="false" ht="15.75" hidden="false" customHeight="false" outlineLevel="0" collapsed="false">
      <c r="B7" s="143" t="s">
        <v>242</v>
      </c>
      <c r="C7" s="24" t="n">
        <f aca="false">'ORDEN P'!B12</f>
        <v>5000</v>
      </c>
      <c r="D7" s="24" t="n">
        <v>110</v>
      </c>
      <c r="E7" s="24" t="n">
        <f aca="false">C7*D7</f>
        <v>550000</v>
      </c>
      <c r="F7" s="24" t="n">
        <f aca="false">E7/100</f>
        <v>5500</v>
      </c>
      <c r="J7" s="144"/>
    </row>
    <row r="8" customFormat="false" ht="15.75" hidden="false" customHeight="false" outlineLevel="0" collapsed="false">
      <c r="B8" s="145"/>
      <c r="D8" s="23" t="s">
        <v>243</v>
      </c>
      <c r="E8" s="24" t="n">
        <f aca="false">SUM(E5:E7)</f>
        <v>1410000</v>
      </c>
      <c r="F8" s="24" t="n">
        <f aca="false">E8/100</f>
        <v>14100</v>
      </c>
      <c r="J8" s="144"/>
    </row>
    <row r="9" customFormat="false" ht="16.5" hidden="false" customHeight="true" outlineLevel="0" collapsed="false">
      <c r="B9" s="146"/>
      <c r="C9" s="147"/>
      <c r="D9" s="148" t="s">
        <v>244</v>
      </c>
      <c r="E9" s="149" t="n">
        <f aca="false">E8/100</f>
        <v>14100</v>
      </c>
      <c r="F9" s="149"/>
      <c r="G9" s="149" t="n">
        <f aca="false">KARDEX!J9</f>
        <v>4500</v>
      </c>
      <c r="H9" s="150" t="n">
        <f aca="false">E9-G9</f>
        <v>9600</v>
      </c>
      <c r="I9" s="150" t="n">
        <f aca="false">DATOS!F25</f>
        <v>5616</v>
      </c>
      <c r="J9" s="151" t="n">
        <f aca="false">H9+I9</f>
        <v>15216</v>
      </c>
    </row>
    <row r="12" customFormat="false" ht="16.5" hidden="false" customHeight="true" outlineLevel="0" collapsed="false">
      <c r="B12" s="22" t="s">
        <v>188</v>
      </c>
      <c r="C12" s="22"/>
      <c r="D12" s="22"/>
      <c r="E12" s="22"/>
      <c r="F12" s="22"/>
      <c r="G12" s="22"/>
      <c r="H12" s="22"/>
      <c r="I12" s="22"/>
      <c r="J12" s="22"/>
    </row>
    <row r="13" customFormat="false" ht="16.5" hidden="false" customHeight="true" outlineLevel="0" collapsed="false">
      <c r="B13" s="152" t="s">
        <v>225</v>
      </c>
      <c r="C13" s="23"/>
    </row>
    <row r="14" customFormat="false" ht="15.75" hidden="false" customHeight="false" outlineLevel="0" collapsed="false">
      <c r="B14" s="138" t="s">
        <v>233</v>
      </c>
      <c r="C14" s="139" t="s">
        <v>26</v>
      </c>
      <c r="D14" s="139" t="s">
        <v>234</v>
      </c>
      <c r="E14" s="140" t="s">
        <v>235</v>
      </c>
      <c r="F14" s="140"/>
      <c r="G14" s="141" t="s">
        <v>236</v>
      </c>
      <c r="H14" s="141" t="s">
        <v>237</v>
      </c>
      <c r="I14" s="141" t="s">
        <v>238</v>
      </c>
      <c r="J14" s="142" t="s">
        <v>239</v>
      </c>
    </row>
    <row r="15" customFormat="false" ht="15.75" hidden="false" customHeight="false" outlineLevel="0" collapsed="false">
      <c r="B15" s="143" t="s">
        <v>240</v>
      </c>
      <c r="C15" s="24" t="n">
        <f aca="false">'ORDEN P'!B10</f>
        <v>4000</v>
      </c>
      <c r="D15" s="24" t="n">
        <v>1</v>
      </c>
      <c r="E15" s="24" t="n">
        <f aca="false">C15*D15</f>
        <v>4000</v>
      </c>
      <c r="F15" s="24"/>
      <c r="J15" s="144"/>
    </row>
    <row r="16" customFormat="false" ht="15.75" hidden="false" customHeight="false" outlineLevel="0" collapsed="false">
      <c r="B16" s="143" t="s">
        <v>241</v>
      </c>
      <c r="C16" s="24" t="n">
        <f aca="false">'ORDEN P'!B11</f>
        <v>6000</v>
      </c>
      <c r="D16" s="24" t="n">
        <v>1</v>
      </c>
      <c r="E16" s="24" t="n">
        <f aca="false">C16*D16</f>
        <v>6000</v>
      </c>
      <c r="F16" s="24"/>
      <c r="J16" s="144"/>
    </row>
    <row r="17" customFormat="false" ht="15.75" hidden="false" customHeight="false" outlineLevel="0" collapsed="false">
      <c r="B17" s="143" t="s">
        <v>242</v>
      </c>
      <c r="C17" s="24" t="n">
        <f aca="false">'ORDEN P'!B12</f>
        <v>5000</v>
      </c>
      <c r="D17" s="24" t="n">
        <v>1</v>
      </c>
      <c r="E17" s="24" t="n">
        <f aca="false">C17*D17</f>
        <v>5000</v>
      </c>
      <c r="F17" s="24"/>
      <c r="J17" s="144"/>
    </row>
    <row r="18" customFormat="false" ht="16.5" hidden="false" customHeight="true" outlineLevel="0" collapsed="false">
      <c r="B18" s="146"/>
      <c r="C18" s="147"/>
      <c r="D18" s="148" t="s">
        <v>245</v>
      </c>
      <c r="E18" s="149" t="n">
        <f aca="false">SUM(E15:E17)</f>
        <v>15000</v>
      </c>
      <c r="F18" s="149"/>
      <c r="G18" s="150" t="n">
        <f aca="false">KARDEX!J25</f>
        <v>3000</v>
      </c>
      <c r="H18" s="150" t="n">
        <f aca="false">E18-G18</f>
        <v>12000</v>
      </c>
      <c r="I18" s="150" t="n">
        <v>6000</v>
      </c>
      <c r="J18" s="151" t="n">
        <f aca="false">H18+I18</f>
        <v>18000</v>
      </c>
    </row>
    <row r="21" customFormat="false" ht="16.5" hidden="false" customHeight="true" outlineLevel="0" collapsed="false">
      <c r="B21" s="22" t="s">
        <v>188</v>
      </c>
      <c r="C21" s="22"/>
      <c r="D21" s="22"/>
      <c r="E21" s="22"/>
      <c r="F21" s="22"/>
      <c r="G21" s="22"/>
      <c r="H21" s="22"/>
      <c r="I21" s="22"/>
      <c r="J21" s="22"/>
    </row>
    <row r="22" customFormat="false" ht="16.5" hidden="false" customHeight="true" outlineLevel="0" collapsed="false">
      <c r="B22" s="137" t="s">
        <v>5</v>
      </c>
      <c r="C22" s="23"/>
    </row>
    <row r="23" customFormat="false" ht="15.75" hidden="false" customHeight="false" outlineLevel="0" collapsed="false">
      <c r="B23" s="138" t="s">
        <v>233</v>
      </c>
      <c r="C23" s="139" t="s">
        <v>26</v>
      </c>
      <c r="D23" s="139" t="s">
        <v>234</v>
      </c>
      <c r="E23" s="140" t="s">
        <v>235</v>
      </c>
      <c r="F23" s="140"/>
      <c r="G23" s="141" t="s">
        <v>236</v>
      </c>
      <c r="H23" s="141" t="s">
        <v>237</v>
      </c>
      <c r="I23" s="141" t="s">
        <v>238</v>
      </c>
      <c r="J23" s="142" t="s">
        <v>239</v>
      </c>
    </row>
    <row r="24" customFormat="false" ht="15.75" hidden="false" customHeight="false" outlineLevel="0" collapsed="false">
      <c r="B24" s="143" t="s">
        <v>240</v>
      </c>
      <c r="C24" s="24" t="n">
        <f aca="false">'ORDEN P'!B10</f>
        <v>4000</v>
      </c>
      <c r="D24" s="24" t="n">
        <v>2</v>
      </c>
      <c r="E24" s="24" t="n">
        <f aca="false">C24*D24</f>
        <v>8000</v>
      </c>
      <c r="F24" s="24"/>
      <c r="J24" s="144"/>
    </row>
    <row r="25" customFormat="false" ht="15.75" hidden="false" customHeight="false" outlineLevel="0" collapsed="false">
      <c r="B25" s="143" t="s">
        <v>241</v>
      </c>
      <c r="C25" s="24" t="n">
        <f aca="false">'ORDEN P'!B11</f>
        <v>6000</v>
      </c>
      <c r="D25" s="24" t="n">
        <v>2</v>
      </c>
      <c r="E25" s="24" t="n">
        <f aca="false">C25*D25</f>
        <v>12000</v>
      </c>
      <c r="F25" s="24"/>
      <c r="J25" s="144"/>
    </row>
    <row r="26" customFormat="false" ht="15.75" hidden="false" customHeight="false" outlineLevel="0" collapsed="false">
      <c r="B26" s="143" t="s">
        <v>242</v>
      </c>
      <c r="C26" s="24" t="n">
        <f aca="false">'ORDEN P'!B12</f>
        <v>5000</v>
      </c>
      <c r="D26" s="24" t="n">
        <v>2</v>
      </c>
      <c r="E26" s="24" t="n">
        <f aca="false">C26*D26</f>
        <v>10000</v>
      </c>
      <c r="F26" s="24"/>
      <c r="J26" s="144"/>
    </row>
    <row r="27" customFormat="false" ht="16.5" hidden="false" customHeight="true" outlineLevel="0" collapsed="false">
      <c r="B27" s="146"/>
      <c r="C27" s="147"/>
      <c r="D27" s="148" t="s">
        <v>245</v>
      </c>
      <c r="E27" s="149" t="n">
        <f aca="false">SUM(E24:E26)</f>
        <v>30000</v>
      </c>
      <c r="F27" s="149"/>
      <c r="G27" s="150" t="n">
        <f aca="false">KARDEX!J41</f>
        <v>5000</v>
      </c>
      <c r="H27" s="150" t="n">
        <f aca="false">E27-G27</f>
        <v>25000</v>
      </c>
      <c r="I27" s="150" t="n">
        <v>12000</v>
      </c>
      <c r="J27" s="151" t="n">
        <f aca="false">H27+I27</f>
        <v>37000</v>
      </c>
    </row>
    <row r="28" customFormat="false" ht="15.75" hidden="false" customHeight="false" outlineLevel="0" collapsed="false">
      <c r="D28" s="23"/>
      <c r="E28" s="24"/>
      <c r="F28" s="24"/>
      <c r="G28" s="24"/>
      <c r="H28" s="10"/>
      <c r="I28" s="10"/>
      <c r="J28" s="10"/>
    </row>
    <row r="30" customFormat="false" ht="16.5" hidden="false" customHeight="true" outlineLevel="0" collapsed="false">
      <c r="B30" s="22" t="s">
        <v>188</v>
      </c>
      <c r="C30" s="22"/>
      <c r="D30" s="22"/>
      <c r="E30" s="22"/>
      <c r="F30" s="22"/>
      <c r="G30" s="22"/>
      <c r="H30" s="22"/>
      <c r="I30" s="22"/>
      <c r="J30" s="22"/>
    </row>
    <row r="31" customFormat="false" ht="16.5" hidden="false" customHeight="true" outlineLevel="0" collapsed="false">
      <c r="B31" s="137" t="s">
        <v>227</v>
      </c>
      <c r="C31" s="23"/>
    </row>
    <row r="32" customFormat="false" ht="15.75" hidden="false" customHeight="false" outlineLevel="0" collapsed="false">
      <c r="B32" s="138" t="s">
        <v>233</v>
      </c>
      <c r="C32" s="139" t="s">
        <v>26</v>
      </c>
      <c r="D32" s="139" t="s">
        <v>234</v>
      </c>
      <c r="E32" s="140" t="s">
        <v>235</v>
      </c>
      <c r="F32" s="140"/>
      <c r="G32" s="141" t="s">
        <v>236</v>
      </c>
      <c r="H32" s="141" t="s">
        <v>237</v>
      </c>
      <c r="I32" s="141" t="s">
        <v>238</v>
      </c>
      <c r="J32" s="142" t="s">
        <v>239</v>
      </c>
    </row>
    <row r="33" customFormat="false" ht="15.75" hidden="false" customHeight="false" outlineLevel="0" collapsed="false">
      <c r="B33" s="143" t="s">
        <v>240</v>
      </c>
      <c r="C33" s="24" t="n">
        <f aca="false">'ORDEN P'!B10</f>
        <v>4000</v>
      </c>
      <c r="D33" s="24" t="n">
        <v>2</v>
      </c>
      <c r="E33" s="24" t="n">
        <f aca="false">C33*D33</f>
        <v>8000</v>
      </c>
      <c r="F33" s="24"/>
      <c r="J33" s="144"/>
    </row>
    <row r="34" customFormat="false" ht="15.75" hidden="false" customHeight="false" outlineLevel="0" collapsed="false">
      <c r="B34" s="143" t="s">
        <v>241</v>
      </c>
      <c r="C34" s="24" t="n">
        <f aca="false">'ORDEN P'!B11</f>
        <v>6000</v>
      </c>
      <c r="D34" s="24" t="n">
        <v>2</v>
      </c>
      <c r="E34" s="24" t="n">
        <f aca="false">C34*D34</f>
        <v>12000</v>
      </c>
      <c r="F34" s="24"/>
      <c r="J34" s="144"/>
    </row>
    <row r="35" customFormat="false" ht="15.75" hidden="false" customHeight="false" outlineLevel="0" collapsed="false">
      <c r="B35" s="143" t="s">
        <v>242</v>
      </c>
      <c r="C35" s="24" t="n">
        <f aca="false">'ORDEN P'!B12</f>
        <v>5000</v>
      </c>
      <c r="D35" s="24" t="n">
        <v>2</v>
      </c>
      <c r="E35" s="24" t="n">
        <f aca="false">C35*D35</f>
        <v>10000</v>
      </c>
      <c r="F35" s="24"/>
      <c r="J35" s="144"/>
    </row>
    <row r="36" customFormat="false" ht="16.5" hidden="false" customHeight="true" outlineLevel="0" collapsed="false">
      <c r="B36" s="146"/>
      <c r="C36" s="147"/>
      <c r="D36" s="148" t="s">
        <v>245</v>
      </c>
      <c r="E36" s="149" t="n">
        <f aca="false">SUM(E33:E35)</f>
        <v>30000</v>
      </c>
      <c r="F36" s="149"/>
      <c r="G36" s="150" t="n">
        <f aca="false">KARDEX!J57</f>
        <v>40000</v>
      </c>
      <c r="H36" s="150" t="n">
        <f aca="false">E36-G36</f>
        <v>-10000</v>
      </c>
      <c r="I36" s="150" t="n">
        <v>12000</v>
      </c>
      <c r="J36" s="151" t="n">
        <f aca="false">H36+I36</f>
        <v>2000</v>
      </c>
    </row>
    <row r="37" customFormat="false" ht="15.75" hidden="false" customHeight="false" outlineLevel="0" collapsed="false">
      <c r="D37" s="23"/>
      <c r="E37" s="24"/>
      <c r="F37" s="24"/>
      <c r="G37" s="10"/>
      <c r="H37" s="10"/>
      <c r="I37" s="10"/>
      <c r="J37" s="10"/>
    </row>
    <row r="39" customFormat="false" ht="16.5" hidden="false" customHeight="true" outlineLevel="0" collapsed="false">
      <c r="B39" s="22" t="s">
        <v>188</v>
      </c>
      <c r="C39" s="22"/>
      <c r="D39" s="22"/>
      <c r="E39" s="22"/>
      <c r="F39" s="22"/>
      <c r="G39" s="22"/>
      <c r="H39" s="22"/>
      <c r="I39" s="22"/>
      <c r="J39" s="22"/>
    </row>
    <row r="40" customFormat="false" ht="16.5" hidden="false" customHeight="true" outlineLevel="0" collapsed="false">
      <c r="B40" s="137" t="s">
        <v>7</v>
      </c>
      <c r="C40" s="23"/>
    </row>
    <row r="41" customFormat="false" ht="15.75" hidden="false" customHeight="false" outlineLevel="0" collapsed="false">
      <c r="B41" s="138" t="s">
        <v>233</v>
      </c>
      <c r="C41" s="139" t="s">
        <v>26</v>
      </c>
      <c r="D41" s="139" t="s">
        <v>234</v>
      </c>
      <c r="E41" s="140" t="s">
        <v>235</v>
      </c>
      <c r="F41" s="140"/>
      <c r="G41" s="141" t="s">
        <v>236</v>
      </c>
      <c r="H41" s="141" t="s">
        <v>237</v>
      </c>
      <c r="I41" s="141" t="s">
        <v>238</v>
      </c>
      <c r="J41" s="142" t="s">
        <v>239</v>
      </c>
    </row>
    <row r="42" customFormat="false" ht="15.75" hidden="false" customHeight="false" outlineLevel="0" collapsed="false">
      <c r="B42" s="143" t="s">
        <v>240</v>
      </c>
      <c r="C42" s="24" t="n">
        <f aca="false">'ORDEN P'!B10</f>
        <v>4000</v>
      </c>
      <c r="D42" s="24" t="n">
        <v>4</v>
      </c>
      <c r="E42" s="24" t="n">
        <f aca="false">C42*D42</f>
        <v>16000</v>
      </c>
      <c r="F42" s="24"/>
      <c r="J42" s="144"/>
    </row>
    <row r="43" customFormat="false" ht="15.75" hidden="false" customHeight="false" outlineLevel="0" collapsed="false">
      <c r="B43" s="143" t="s">
        <v>241</v>
      </c>
      <c r="C43" s="24" t="n">
        <f aca="false">'ORDEN P'!B11</f>
        <v>6000</v>
      </c>
      <c r="D43" s="24" t="n">
        <v>5</v>
      </c>
      <c r="E43" s="24" t="n">
        <f aca="false">C43*D43</f>
        <v>30000</v>
      </c>
      <c r="F43" s="24"/>
      <c r="J43" s="144"/>
    </row>
    <row r="44" customFormat="false" ht="15.75" hidden="false" customHeight="false" outlineLevel="0" collapsed="false">
      <c r="B44" s="143" t="s">
        <v>242</v>
      </c>
      <c r="C44" s="24" t="n">
        <f aca="false">'ORDEN P'!B12</f>
        <v>5000</v>
      </c>
      <c r="D44" s="24" t="n">
        <v>6</v>
      </c>
      <c r="E44" s="24" t="n">
        <f aca="false">C44*D44</f>
        <v>30000</v>
      </c>
      <c r="F44" s="24"/>
      <c r="J44" s="144"/>
    </row>
    <row r="45" customFormat="false" ht="16.5" hidden="false" customHeight="true" outlineLevel="0" collapsed="false">
      <c r="B45" s="146"/>
      <c r="C45" s="147"/>
      <c r="D45" s="148" t="s">
        <v>28</v>
      </c>
      <c r="E45" s="149" t="n">
        <f aca="false">SUM(E42:E44)</f>
        <v>76000</v>
      </c>
      <c r="F45" s="149"/>
      <c r="G45" s="150" t="n">
        <f aca="false">KARDEX!J73</f>
        <v>300000</v>
      </c>
      <c r="H45" s="150" t="n">
        <f aca="false">E45-G45</f>
        <v>-224000</v>
      </c>
      <c r="I45" s="150" t="n">
        <v>90000</v>
      </c>
      <c r="J45" s="151" t="n">
        <f aca="false">H45+I45</f>
        <v>-134000</v>
      </c>
    </row>
    <row r="46" customFormat="false" ht="16.5" hidden="false" customHeight="true" outlineLevel="0" collapsed="false"/>
    <row r="47" customFormat="false" ht="15.75" hidden="false" customHeight="true" outlineLevel="0" collapsed="false">
      <c r="B47" s="153" t="s">
        <v>246</v>
      </c>
      <c r="C47" s="153"/>
      <c r="D47" s="153"/>
      <c r="E47" s="153"/>
      <c r="F47" s="153"/>
    </row>
    <row r="48" customFormat="false" ht="16.5" hidden="false" customHeight="true" outlineLevel="0" collapsed="false">
      <c r="B48" s="153"/>
      <c r="C48" s="153"/>
      <c r="D48" s="153"/>
      <c r="E48" s="153"/>
      <c r="F48" s="153"/>
    </row>
    <row r="49" customFormat="false" ht="15.75" hidden="false" customHeight="false" outlineLevel="0" collapsed="false">
      <c r="B49" s="10" t="s">
        <v>247</v>
      </c>
      <c r="C49" s="10" t="s">
        <v>248</v>
      </c>
      <c r="D49" s="10" t="s">
        <v>248</v>
      </c>
      <c r="E49" s="10" t="s">
        <v>249</v>
      </c>
      <c r="F49" s="10" t="s">
        <v>250</v>
      </c>
    </row>
    <row r="50" customFormat="false" ht="15.75" hidden="false" customHeight="false" outlineLevel="0" collapsed="false">
      <c r="B50" s="154" t="n">
        <v>5</v>
      </c>
      <c r="C50" s="154" t="n">
        <v>6</v>
      </c>
      <c r="D50" s="154" t="n">
        <v>7</v>
      </c>
      <c r="E50" s="154" t="n">
        <v>8</v>
      </c>
      <c r="F50" s="154" t="n">
        <v>9</v>
      </c>
      <c r="G50" s="155" t="s">
        <v>251</v>
      </c>
    </row>
    <row r="51" customFormat="false" ht="15.75" hidden="false" customHeight="false" outlineLevel="0" collapsed="false">
      <c r="B51" s="154" t="n">
        <v>12</v>
      </c>
      <c r="C51" s="154" t="n">
        <v>13</v>
      </c>
      <c r="D51" s="154" t="n">
        <v>14</v>
      </c>
      <c r="E51" s="10" t="n">
        <v>15</v>
      </c>
      <c r="F51" s="10" t="n">
        <v>16</v>
      </c>
    </row>
    <row r="52" customFormat="false" ht="15.75" hidden="false" customHeight="false" outlineLevel="0" collapsed="false">
      <c r="B52" s="10" t="n">
        <v>19</v>
      </c>
      <c r="C52" s="10" t="n">
        <v>20</v>
      </c>
      <c r="D52" s="10" t="n">
        <v>21</v>
      </c>
      <c r="E52" s="10" t="n">
        <v>22</v>
      </c>
      <c r="F52" s="10" t="n">
        <v>23</v>
      </c>
    </row>
    <row r="53" customFormat="false" ht="15.75" hidden="false" customHeight="false" outlineLevel="0" collapsed="false">
      <c r="B53" s="10" t="n">
        <v>26</v>
      </c>
      <c r="C53" s="10" t="n">
        <v>27</v>
      </c>
      <c r="D53" s="10" t="n">
        <v>28</v>
      </c>
      <c r="E53" s="10" t="n">
        <v>29</v>
      </c>
      <c r="F53" s="10" t="n">
        <v>30</v>
      </c>
    </row>
    <row r="56" customFormat="false" ht="15.75" hidden="false" customHeight="false" outlineLevel="0" collapsed="false">
      <c r="B56" s="23" t="s">
        <v>252</v>
      </c>
    </row>
    <row r="57" customFormat="false" ht="15.75" hidden="false" customHeight="false" outlineLevel="0" collapsed="false">
      <c r="B57" s="22" t="s">
        <v>253</v>
      </c>
      <c r="C57" s="22"/>
    </row>
    <row r="59" customFormat="false" ht="15.75" hidden="false" customHeight="false" outlineLevel="0" collapsed="false">
      <c r="B59" s="156" t="s">
        <v>254</v>
      </c>
      <c r="C59" s="156"/>
      <c r="D59" s="23"/>
      <c r="E59" s="23"/>
      <c r="F59" s="23"/>
    </row>
    <row r="60" customFormat="false" ht="15.75" hidden="false" customHeight="false" outlineLevel="0" collapsed="false">
      <c r="B60" s="156" t="s">
        <v>69</v>
      </c>
      <c r="C60" s="156"/>
      <c r="D60" s="23"/>
      <c r="E60" s="23"/>
      <c r="F60" s="23"/>
    </row>
    <row r="61" customFormat="false" ht="16.5" hidden="false" customHeight="true" outlineLevel="0" collapsed="false">
      <c r="B61" s="157"/>
      <c r="C61" s="157"/>
      <c r="D61" s="23"/>
      <c r="E61" s="23"/>
      <c r="F61" s="23"/>
    </row>
    <row r="62" customFormat="false" ht="16.5" hidden="false" customHeight="true" outlineLevel="0" collapsed="false">
      <c r="B62" s="22"/>
      <c r="C62" s="22"/>
      <c r="D62" s="23"/>
      <c r="E62" s="158" t="s">
        <v>255</v>
      </c>
      <c r="F62" s="158"/>
      <c r="G62" s="159" t="str">
        <f aca="false">'ORDEN P'!C10</f>
        <v>CAMISETA S</v>
      </c>
      <c r="H62" s="159" t="str">
        <f aca="false">'ORDEN P'!C11</f>
        <v>CAMISETA M</v>
      </c>
      <c r="I62" s="159" t="str">
        <f aca="false">'ORDEN P'!C12</f>
        <v>CAMISETA L</v>
      </c>
    </row>
    <row r="63" customFormat="false" ht="33.75" hidden="false" customHeight="true" outlineLevel="0" collapsed="false">
      <c r="B63" s="160" t="s">
        <v>253</v>
      </c>
      <c r="C63" s="160"/>
      <c r="D63" s="161" t="s">
        <v>256</v>
      </c>
      <c r="E63" s="162" t="s">
        <v>257</v>
      </c>
      <c r="F63" s="162" t="s">
        <v>258</v>
      </c>
      <c r="G63" s="163" t="n">
        <f aca="false">'ORDEN P'!B10</f>
        <v>4000</v>
      </c>
      <c r="H63" s="163" t="n">
        <f aca="false">'ORDEN P'!B11</f>
        <v>6000</v>
      </c>
      <c r="I63" s="163" t="n">
        <f aca="false">'ORDEN P'!B12</f>
        <v>5000</v>
      </c>
      <c r="J63" s="164" t="s">
        <v>235</v>
      </c>
      <c r="K63" s="23"/>
    </row>
    <row r="64" customFormat="false" ht="15.75" hidden="false" customHeight="false" outlineLevel="0" collapsed="false">
      <c r="B64" s="165" t="s">
        <v>86</v>
      </c>
      <c r="C64" s="165"/>
      <c r="D64" s="30" t="n">
        <f aca="false">500*12</f>
        <v>6000</v>
      </c>
      <c r="E64" s="28" t="n">
        <v>480000</v>
      </c>
      <c r="F64" s="102" t="n">
        <f aca="false">D64/$E$64</f>
        <v>0.0125</v>
      </c>
      <c r="G64" s="166" t="n">
        <f aca="false">$G$63*F64</f>
        <v>50</v>
      </c>
      <c r="H64" s="166" t="n">
        <f aca="false">$H$63*F64</f>
        <v>75</v>
      </c>
      <c r="I64" s="166" t="n">
        <f aca="false">$I$63*F64</f>
        <v>62.5</v>
      </c>
      <c r="J64" s="167" t="n">
        <f aca="false">SUM(G64:I64)</f>
        <v>187.5</v>
      </c>
      <c r="K64" s="23"/>
    </row>
    <row r="65" customFormat="false" ht="15.75" hidden="false" customHeight="false" outlineLevel="0" collapsed="false">
      <c r="B65" s="165" t="s">
        <v>259</v>
      </c>
      <c r="C65" s="165"/>
      <c r="D65" s="30" t="n">
        <f aca="false">(25*30)*12</f>
        <v>9000</v>
      </c>
      <c r="E65" s="25"/>
      <c r="F65" s="102" t="n">
        <f aca="false">D65/$E$64</f>
        <v>0.01875</v>
      </c>
      <c r="G65" s="166" t="n">
        <f aca="false">$G$63*F65</f>
        <v>75</v>
      </c>
      <c r="H65" s="166" t="n">
        <f aca="false">$H$63*F65</f>
        <v>112.5</v>
      </c>
      <c r="I65" s="166" t="n">
        <f aca="false">$I$63*F65</f>
        <v>93.75</v>
      </c>
      <c r="J65" s="167" t="n">
        <f aca="false">SUM(G65:I65)</f>
        <v>281.25</v>
      </c>
      <c r="K65" s="23"/>
    </row>
    <row r="66" customFormat="false" ht="15.75" hidden="false" customHeight="false" outlineLevel="0" collapsed="false">
      <c r="B66" s="165" t="s">
        <v>88</v>
      </c>
      <c r="C66" s="165"/>
      <c r="D66" s="30" t="n">
        <f aca="false">350*12</f>
        <v>4200</v>
      </c>
      <c r="E66" s="25"/>
      <c r="F66" s="102" t="n">
        <f aca="false">D66/$E$64</f>
        <v>0.00875</v>
      </c>
      <c r="G66" s="166" t="n">
        <f aca="false">$G$63*F66</f>
        <v>35</v>
      </c>
      <c r="H66" s="166" t="n">
        <f aca="false">$H$63*F66</f>
        <v>52.5</v>
      </c>
      <c r="I66" s="166" t="n">
        <f aca="false">$I$63*F66</f>
        <v>43.75</v>
      </c>
      <c r="J66" s="167" t="n">
        <f aca="false">SUM(G66:I66)</f>
        <v>131.25</v>
      </c>
      <c r="K66" s="23"/>
    </row>
    <row r="67" customFormat="false" ht="16.5" hidden="false" customHeight="true" outlineLevel="0" collapsed="false">
      <c r="B67" s="168" t="s">
        <v>89</v>
      </c>
      <c r="C67" s="168"/>
      <c r="D67" s="169" t="n">
        <f aca="false">'LIBRO DIARIO'!F11*10%</f>
        <v>7000</v>
      </c>
      <c r="E67" s="170"/>
      <c r="F67" s="171" t="n">
        <f aca="false">D67/$E$64</f>
        <v>0.0145833333333333</v>
      </c>
      <c r="G67" s="172" t="n">
        <f aca="false">$G$63*F67</f>
        <v>58.3333333333333</v>
      </c>
      <c r="H67" s="172" t="n">
        <f aca="false">$H$63*F67</f>
        <v>87.5</v>
      </c>
      <c r="I67" s="172" t="n">
        <f aca="false">$I$63*F67</f>
        <v>72.9166666666667</v>
      </c>
      <c r="J67" s="173" t="n">
        <f aca="false">SUM(G67:I67)</f>
        <v>218.75</v>
      </c>
      <c r="K67" s="23"/>
    </row>
    <row r="68" customFormat="false" ht="16.5" hidden="false" customHeight="true" outlineLevel="0" collapsed="false">
      <c r="D68" s="174"/>
      <c r="F68" s="23"/>
      <c r="G68" s="175" t="n">
        <f aca="false">SUM(G64:G67)</f>
        <v>218.333333333333</v>
      </c>
      <c r="H68" s="175" t="n">
        <f aca="false">SUM(H64:H67)</f>
        <v>327.5</v>
      </c>
      <c r="I68" s="176" t="n">
        <f aca="false">SUM(I64:I67)</f>
        <v>272.916666666667</v>
      </c>
      <c r="J68" s="177" t="n">
        <f aca="false">SUM(G68:I68)</f>
        <v>818.75</v>
      </c>
      <c r="K68" s="23"/>
    </row>
    <row r="69" customFormat="false" ht="15.75" hidden="false" customHeight="false" outlineLevel="0" collapsed="false">
      <c r="F69" s="23"/>
      <c r="G69" s="23"/>
      <c r="H69" s="23"/>
      <c r="I69" s="23"/>
      <c r="J69" s="23"/>
      <c r="K69" s="23"/>
    </row>
    <row r="71" customFormat="false" ht="15.75" hidden="false" customHeight="false" outlineLevel="0" collapsed="false">
      <c r="B71" s="23" t="s">
        <v>260</v>
      </c>
      <c r="C71" s="23" t="s">
        <v>26</v>
      </c>
      <c r="D71" s="23" t="s">
        <v>261</v>
      </c>
      <c r="E71" s="23" t="s">
        <v>235</v>
      </c>
      <c r="F71" s="23"/>
      <c r="G71" s="23"/>
      <c r="H71" s="23"/>
      <c r="I71" s="23"/>
      <c r="J71" s="23"/>
      <c r="K71" s="23"/>
    </row>
    <row r="72" customFormat="false" ht="15.75" hidden="false" customHeight="false" outlineLevel="0" collapsed="false">
      <c r="B72" s="23" t="str">
        <f aca="false">'ORDEN P'!C10</f>
        <v>CAMISETA S</v>
      </c>
      <c r="C72" s="23" t="n">
        <f aca="false">'ORDEN P'!B10</f>
        <v>4000</v>
      </c>
      <c r="D72" s="178" t="n">
        <f aca="false">KARDEX!K88*1.8</f>
        <v>9.67441277194611</v>
      </c>
      <c r="E72" s="178" t="n">
        <f aca="false">C72*D72</f>
        <v>38697.6510877844</v>
      </c>
      <c r="F72" s="23"/>
      <c r="G72" s="23"/>
      <c r="H72" s="23"/>
      <c r="I72" s="23"/>
      <c r="J72" s="23"/>
      <c r="K72" s="23"/>
    </row>
    <row r="73" customFormat="false" ht="15.75" hidden="false" customHeight="false" outlineLevel="0" collapsed="false">
      <c r="B73" s="23" t="str">
        <f aca="false">'ORDEN P'!C11</f>
        <v>CAMISETA M</v>
      </c>
      <c r="C73" s="23" t="n">
        <f aca="false">'ORDEN P'!B11</f>
        <v>6000</v>
      </c>
      <c r="D73" s="178" t="n">
        <f aca="false">KARDEX!K102*1.8</f>
        <v>10.5647427087061</v>
      </c>
      <c r="E73" s="178" t="n">
        <f aca="false">C73*D73</f>
        <v>63388.4562522367</v>
      </c>
      <c r="F73" s="23"/>
      <c r="G73" s="23"/>
      <c r="H73" s="23"/>
      <c r="I73" s="23"/>
      <c r="J73" s="23"/>
      <c r="K73" s="23"/>
    </row>
    <row r="74" customFormat="false" ht="15.75" hidden="false" customHeight="false" outlineLevel="0" collapsed="false">
      <c r="B74" s="23" t="str">
        <f aca="false">'ORDEN P'!C12</f>
        <v>CAMISETA L</v>
      </c>
      <c r="C74" s="23" t="n">
        <f aca="false">'ORDEN P'!B12</f>
        <v>5000</v>
      </c>
      <c r="D74" s="178" t="n">
        <f aca="false">KARDEX!K116*1.8</f>
        <v>12.2545806325511</v>
      </c>
      <c r="E74" s="178" t="n">
        <f aca="false">C74*D74</f>
        <v>61272.9031627556</v>
      </c>
      <c r="F74" s="23"/>
      <c r="G74" s="23"/>
      <c r="H74" s="23"/>
      <c r="I74" s="23"/>
      <c r="J74" s="23"/>
      <c r="K74" s="23"/>
    </row>
    <row r="75" customFormat="false" ht="15.75" hidden="false" customHeight="false" outlineLevel="0" collapsed="false">
      <c r="B75" s="23"/>
      <c r="C75" s="23"/>
      <c r="D75" s="23"/>
      <c r="E75" s="178" t="n">
        <f aca="false">SUM(E72:E74)</f>
        <v>163359.010502777</v>
      </c>
      <c r="F75" s="23"/>
      <c r="G75" s="23"/>
      <c r="H75" s="23"/>
      <c r="I75" s="23"/>
      <c r="J75" s="23"/>
      <c r="K75" s="23"/>
    </row>
    <row r="76" customFormat="false" ht="15.75" hidden="false" customHeight="false" outlineLevel="0" collapsed="false"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customFormat="false" ht="15.75" hidden="false" customHeight="false" outlineLevel="0" collapsed="false"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customFormat="false" ht="15.75" hidden="false" customHeight="false" outlineLevel="0" collapsed="false"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customFormat="false" ht="16.5" hidden="false" customHeight="true" outlineLevel="0" collapsed="false">
      <c r="B79" s="22" t="s">
        <v>188</v>
      </c>
      <c r="C79" s="22"/>
      <c r="D79" s="22"/>
      <c r="E79" s="22"/>
      <c r="F79" s="22"/>
      <c r="G79" s="22"/>
      <c r="H79" s="22"/>
      <c r="I79" s="22"/>
      <c r="J79" s="22"/>
      <c r="K79" s="23"/>
    </row>
    <row r="80" customFormat="false" ht="16.5" hidden="false" customHeight="true" outlineLevel="0" collapsed="false">
      <c r="B80" s="137" t="s">
        <v>3</v>
      </c>
      <c r="C80" s="23"/>
      <c r="K80" s="23"/>
    </row>
    <row r="81" customFormat="false" ht="15.75" hidden="false" customHeight="false" outlineLevel="0" collapsed="false">
      <c r="B81" s="138" t="s">
        <v>233</v>
      </c>
      <c r="C81" s="139" t="s">
        <v>26</v>
      </c>
      <c r="D81" s="139" t="s">
        <v>234</v>
      </c>
      <c r="E81" s="140" t="s">
        <v>235</v>
      </c>
      <c r="F81" s="140"/>
      <c r="G81" s="141" t="s">
        <v>236</v>
      </c>
      <c r="H81" s="141" t="s">
        <v>237</v>
      </c>
      <c r="I81" s="141" t="s">
        <v>238</v>
      </c>
      <c r="J81" s="142" t="s">
        <v>239</v>
      </c>
      <c r="K81" s="23"/>
    </row>
    <row r="82" customFormat="false" ht="15.75" hidden="false" customHeight="false" outlineLevel="0" collapsed="false">
      <c r="B82" s="143" t="s">
        <v>240</v>
      </c>
      <c r="C82" s="24" t="n">
        <f aca="false">DATOS!C52</f>
        <v>5000</v>
      </c>
      <c r="D82" s="24" t="n">
        <v>80</v>
      </c>
      <c r="E82" s="24" t="n">
        <f aca="false">C82*D82</f>
        <v>400000</v>
      </c>
      <c r="F82" s="24" t="n">
        <f aca="false">E82/100</f>
        <v>4000</v>
      </c>
      <c r="J82" s="144"/>
      <c r="K82" s="23"/>
    </row>
    <row r="83" customFormat="false" ht="15.75" hidden="false" customHeight="false" outlineLevel="0" collapsed="false">
      <c r="B83" s="143" t="s">
        <v>242</v>
      </c>
      <c r="C83" s="24" t="n">
        <f aca="false">DATOS!C53</f>
        <v>6000</v>
      </c>
      <c r="D83" s="24" t="n">
        <v>90</v>
      </c>
      <c r="E83" s="24" t="n">
        <f aca="false">C83*D83</f>
        <v>540000</v>
      </c>
      <c r="F83" s="24" t="n">
        <f aca="false">E83/100</f>
        <v>5400</v>
      </c>
      <c r="J83" s="144"/>
      <c r="K83" s="23"/>
    </row>
    <row r="84" customFormat="false" ht="15.75" hidden="false" customHeight="false" outlineLevel="0" collapsed="false">
      <c r="B84" s="143" t="s">
        <v>241</v>
      </c>
      <c r="C84" s="24" t="n">
        <f aca="false">DATOS!C54</f>
        <v>9000</v>
      </c>
      <c r="D84" s="24" t="n">
        <v>110</v>
      </c>
      <c r="E84" s="24" t="n">
        <f aca="false">C84*D84</f>
        <v>990000</v>
      </c>
      <c r="F84" s="24" t="n">
        <f aca="false">E84/100</f>
        <v>9900</v>
      </c>
      <c r="J84" s="144"/>
    </row>
    <row r="85" customFormat="false" ht="15.75" hidden="false" customHeight="false" outlineLevel="0" collapsed="false">
      <c r="B85" s="145"/>
      <c r="D85" s="23" t="s">
        <v>243</v>
      </c>
      <c r="E85" s="24" t="n">
        <f aca="false">SUM(E82:E84)</f>
        <v>1930000</v>
      </c>
      <c r="F85" s="24" t="n">
        <f aca="false">E85/100</f>
        <v>19300</v>
      </c>
      <c r="J85" s="144"/>
    </row>
    <row r="86" customFormat="false" ht="16.5" hidden="false" customHeight="true" outlineLevel="0" collapsed="false">
      <c r="B86" s="146"/>
      <c r="C86" s="147"/>
      <c r="D86" s="148" t="s">
        <v>244</v>
      </c>
      <c r="E86" s="149" t="n">
        <f aca="false">E85/100</f>
        <v>19300</v>
      </c>
      <c r="F86" s="149"/>
      <c r="G86" s="149" t="n">
        <f aca="false">KARDEX!J13</f>
        <v>5616</v>
      </c>
      <c r="H86" s="150" t="n">
        <f aca="false">E86-G86</f>
        <v>13684</v>
      </c>
      <c r="I86" s="150" t="n">
        <f aca="false">DATOS!F25</f>
        <v>5616</v>
      </c>
      <c r="J86" s="151" t="n">
        <f aca="false">H86+I86</f>
        <v>19300</v>
      </c>
    </row>
    <row r="89" customFormat="false" ht="16.5" hidden="false" customHeight="true" outlineLevel="0" collapsed="false">
      <c r="B89" s="22" t="s">
        <v>188</v>
      </c>
      <c r="C89" s="22"/>
      <c r="D89" s="22"/>
      <c r="E89" s="22"/>
      <c r="F89" s="22"/>
      <c r="G89" s="22"/>
      <c r="H89" s="22"/>
      <c r="I89" s="22"/>
      <c r="J89" s="22"/>
    </row>
    <row r="90" customFormat="false" ht="16.5" hidden="false" customHeight="true" outlineLevel="0" collapsed="false">
      <c r="B90" s="152" t="s">
        <v>225</v>
      </c>
      <c r="C90" s="23"/>
    </row>
    <row r="91" customFormat="false" ht="15.75" hidden="false" customHeight="false" outlineLevel="0" collapsed="false">
      <c r="B91" s="138" t="s">
        <v>233</v>
      </c>
      <c r="C91" s="139" t="s">
        <v>26</v>
      </c>
      <c r="D91" s="139" t="s">
        <v>234</v>
      </c>
      <c r="E91" s="140" t="s">
        <v>235</v>
      </c>
      <c r="F91" s="140"/>
      <c r="G91" s="141" t="s">
        <v>236</v>
      </c>
      <c r="H91" s="141" t="s">
        <v>237</v>
      </c>
      <c r="I91" s="141" t="s">
        <v>238</v>
      </c>
      <c r="J91" s="142" t="s">
        <v>239</v>
      </c>
    </row>
    <row r="92" customFormat="false" ht="15.75" hidden="false" customHeight="false" outlineLevel="0" collapsed="false">
      <c r="B92" s="143" t="s">
        <v>240</v>
      </c>
      <c r="C92" s="24" t="n">
        <f aca="false">C82</f>
        <v>5000</v>
      </c>
      <c r="D92" s="24" t="n">
        <v>1</v>
      </c>
      <c r="E92" s="24" t="n">
        <f aca="false">C92*D92</f>
        <v>5000</v>
      </c>
      <c r="F92" s="24"/>
      <c r="J92" s="144"/>
    </row>
    <row r="93" customFormat="false" ht="15.75" hidden="false" customHeight="false" outlineLevel="0" collapsed="false">
      <c r="B93" s="143" t="s">
        <v>242</v>
      </c>
      <c r="C93" s="24" t="n">
        <f aca="false">C83</f>
        <v>6000</v>
      </c>
      <c r="D93" s="24" t="n">
        <v>1</v>
      </c>
      <c r="E93" s="24" t="n">
        <f aca="false">C93*D93</f>
        <v>6000</v>
      </c>
      <c r="F93" s="24"/>
      <c r="J93" s="144"/>
    </row>
    <row r="94" customFormat="false" ht="15.75" hidden="false" customHeight="false" outlineLevel="0" collapsed="false">
      <c r="B94" s="143" t="s">
        <v>241</v>
      </c>
      <c r="C94" s="24" t="n">
        <f aca="false">C84</f>
        <v>9000</v>
      </c>
      <c r="D94" s="24" t="n">
        <v>1</v>
      </c>
      <c r="E94" s="24" t="n">
        <f aca="false">C94*D94</f>
        <v>9000</v>
      </c>
      <c r="F94" s="24"/>
      <c r="J94" s="144"/>
    </row>
    <row r="95" customFormat="false" ht="16.5" hidden="false" customHeight="true" outlineLevel="0" collapsed="false">
      <c r="B95" s="146"/>
      <c r="C95" s="147"/>
      <c r="D95" s="148" t="s">
        <v>245</v>
      </c>
      <c r="E95" s="149" t="n">
        <f aca="false">SUM(E92:E94)</f>
        <v>20000</v>
      </c>
      <c r="F95" s="149"/>
      <c r="G95" s="150" t="n">
        <f aca="false">KARDEX!J29</f>
        <v>6000</v>
      </c>
      <c r="H95" s="150" t="n">
        <f aca="false">E95-G95</f>
        <v>14000</v>
      </c>
      <c r="I95" s="150" t="n">
        <v>6000</v>
      </c>
      <c r="J95" s="151" t="n">
        <f aca="false">H95+I95</f>
        <v>20000</v>
      </c>
    </row>
    <row r="98" customFormat="false" ht="16.5" hidden="false" customHeight="true" outlineLevel="0" collapsed="false">
      <c r="B98" s="22" t="s">
        <v>188</v>
      </c>
      <c r="C98" s="22"/>
      <c r="D98" s="22"/>
      <c r="E98" s="22"/>
      <c r="F98" s="22"/>
      <c r="G98" s="22"/>
      <c r="H98" s="22"/>
      <c r="I98" s="22"/>
      <c r="J98" s="22"/>
    </row>
    <row r="99" customFormat="false" ht="16.5" hidden="false" customHeight="true" outlineLevel="0" collapsed="false">
      <c r="B99" s="137" t="s">
        <v>5</v>
      </c>
      <c r="C99" s="23"/>
    </row>
    <row r="100" customFormat="false" ht="15.75" hidden="false" customHeight="false" outlineLevel="0" collapsed="false">
      <c r="B100" s="138" t="s">
        <v>233</v>
      </c>
      <c r="C100" s="139" t="s">
        <v>26</v>
      </c>
      <c r="D100" s="139" t="s">
        <v>234</v>
      </c>
      <c r="E100" s="140" t="s">
        <v>235</v>
      </c>
      <c r="F100" s="140"/>
      <c r="G100" s="141" t="s">
        <v>236</v>
      </c>
      <c r="H100" s="141" t="s">
        <v>237</v>
      </c>
      <c r="I100" s="141" t="s">
        <v>238</v>
      </c>
      <c r="J100" s="142" t="s">
        <v>239</v>
      </c>
    </row>
    <row r="101" customFormat="false" ht="15.75" hidden="false" customHeight="false" outlineLevel="0" collapsed="false">
      <c r="B101" s="143" t="s">
        <v>240</v>
      </c>
      <c r="C101" s="24" t="n">
        <v>5000</v>
      </c>
      <c r="D101" s="24" t="n">
        <v>2</v>
      </c>
      <c r="E101" s="24" t="n">
        <f aca="false">C101*D101</f>
        <v>10000</v>
      </c>
      <c r="F101" s="24"/>
      <c r="J101" s="144"/>
    </row>
    <row r="102" customFormat="false" ht="15.75" hidden="false" customHeight="false" outlineLevel="0" collapsed="false">
      <c r="B102" s="143" t="s">
        <v>242</v>
      </c>
      <c r="C102" s="24" t="n">
        <v>6000</v>
      </c>
      <c r="D102" s="24" t="n">
        <v>2</v>
      </c>
      <c r="E102" s="24" t="n">
        <f aca="false">C102*D102</f>
        <v>12000</v>
      </c>
      <c r="F102" s="24"/>
      <c r="J102" s="144"/>
    </row>
    <row r="103" customFormat="false" ht="15.75" hidden="false" customHeight="false" outlineLevel="0" collapsed="false">
      <c r="B103" s="143" t="s">
        <v>241</v>
      </c>
      <c r="C103" s="24" t="n">
        <v>9000</v>
      </c>
      <c r="D103" s="24" t="n">
        <v>2</v>
      </c>
      <c r="E103" s="24" t="n">
        <f aca="false">C103*D103</f>
        <v>18000</v>
      </c>
      <c r="F103" s="24"/>
      <c r="J103" s="144"/>
    </row>
    <row r="104" customFormat="false" ht="16.5" hidden="false" customHeight="true" outlineLevel="0" collapsed="false">
      <c r="B104" s="146"/>
      <c r="C104" s="147"/>
      <c r="D104" s="148" t="s">
        <v>245</v>
      </c>
      <c r="E104" s="149" t="n">
        <f aca="false">SUM(E101:E103)</f>
        <v>40000</v>
      </c>
      <c r="F104" s="149"/>
      <c r="G104" s="150" t="n">
        <f aca="false">KARDEX!J45</f>
        <v>12000</v>
      </c>
      <c r="H104" s="150" t="n">
        <f aca="false">E104-G104</f>
        <v>28000</v>
      </c>
      <c r="I104" s="150" t="n">
        <v>12000</v>
      </c>
      <c r="J104" s="151" t="n">
        <f aca="false">H104+I104</f>
        <v>40000</v>
      </c>
    </row>
    <row r="105" customFormat="false" ht="15.75" hidden="false" customHeight="false" outlineLevel="0" collapsed="false">
      <c r="D105" s="23"/>
      <c r="E105" s="24"/>
      <c r="F105" s="24"/>
      <c r="G105" s="24"/>
      <c r="H105" s="10"/>
      <c r="I105" s="10"/>
      <c r="J105" s="10"/>
    </row>
    <row r="107" customFormat="false" ht="16.5" hidden="false" customHeight="true" outlineLevel="0" collapsed="false">
      <c r="B107" s="22" t="s">
        <v>188</v>
      </c>
      <c r="C107" s="22"/>
      <c r="D107" s="22"/>
      <c r="E107" s="22"/>
      <c r="F107" s="22"/>
      <c r="G107" s="22"/>
      <c r="H107" s="22"/>
      <c r="I107" s="22"/>
      <c r="J107" s="22"/>
    </row>
    <row r="108" customFormat="false" ht="16.5" hidden="false" customHeight="true" outlineLevel="0" collapsed="false">
      <c r="B108" s="137" t="s">
        <v>227</v>
      </c>
      <c r="C108" s="23"/>
    </row>
    <row r="109" customFormat="false" ht="15.75" hidden="false" customHeight="false" outlineLevel="0" collapsed="false">
      <c r="B109" s="138" t="s">
        <v>233</v>
      </c>
      <c r="C109" s="139" t="s">
        <v>26</v>
      </c>
      <c r="D109" s="139" t="s">
        <v>234</v>
      </c>
      <c r="E109" s="140" t="s">
        <v>235</v>
      </c>
      <c r="F109" s="140"/>
      <c r="G109" s="141" t="s">
        <v>236</v>
      </c>
      <c r="H109" s="141" t="s">
        <v>237</v>
      </c>
      <c r="I109" s="141" t="s">
        <v>238</v>
      </c>
      <c r="J109" s="142" t="s">
        <v>239</v>
      </c>
    </row>
    <row r="110" customFormat="false" ht="15.75" hidden="false" customHeight="false" outlineLevel="0" collapsed="false">
      <c r="B110" s="143" t="s">
        <v>240</v>
      </c>
      <c r="C110" s="24" t="n">
        <v>5000</v>
      </c>
      <c r="D110" s="24" t="n">
        <v>2</v>
      </c>
      <c r="E110" s="24" t="n">
        <f aca="false">C110*D110</f>
        <v>10000</v>
      </c>
      <c r="F110" s="24"/>
      <c r="J110" s="144"/>
    </row>
    <row r="111" customFormat="false" ht="15.75" hidden="false" customHeight="false" outlineLevel="0" collapsed="false">
      <c r="B111" s="143" t="s">
        <v>242</v>
      </c>
      <c r="C111" s="24" t="n">
        <v>6000</v>
      </c>
      <c r="D111" s="24" t="n">
        <v>2</v>
      </c>
      <c r="E111" s="24" t="n">
        <f aca="false">C111*D111</f>
        <v>12000</v>
      </c>
      <c r="F111" s="24"/>
      <c r="J111" s="144"/>
    </row>
    <row r="112" customFormat="false" ht="15.75" hidden="false" customHeight="false" outlineLevel="0" collapsed="false">
      <c r="B112" s="143" t="s">
        <v>241</v>
      </c>
      <c r="C112" s="24" t="n">
        <v>9000</v>
      </c>
      <c r="D112" s="24" t="n">
        <v>2</v>
      </c>
      <c r="E112" s="24" t="n">
        <f aca="false">C112*D112</f>
        <v>18000</v>
      </c>
      <c r="F112" s="24"/>
      <c r="J112" s="144"/>
    </row>
    <row r="113" customFormat="false" ht="16.5" hidden="false" customHeight="true" outlineLevel="0" collapsed="false">
      <c r="B113" s="146"/>
      <c r="C113" s="147"/>
      <c r="D113" s="148" t="s">
        <v>245</v>
      </c>
      <c r="E113" s="149" t="n">
        <f aca="false">SUM(E110:E112)</f>
        <v>40000</v>
      </c>
      <c r="F113" s="149"/>
      <c r="G113" s="150" t="n">
        <f aca="false">KARDEX!J61</f>
        <v>12000</v>
      </c>
      <c r="H113" s="150" t="n">
        <f aca="false">E113-G113</f>
        <v>28000</v>
      </c>
      <c r="I113" s="150" t="n">
        <v>12000</v>
      </c>
      <c r="J113" s="151" t="n">
        <f aca="false">H113+I113</f>
        <v>40000</v>
      </c>
    </row>
    <row r="114" customFormat="false" ht="15.75" hidden="false" customHeight="false" outlineLevel="0" collapsed="false">
      <c r="D114" s="23"/>
      <c r="E114" s="24"/>
      <c r="F114" s="24"/>
      <c r="G114" s="10"/>
      <c r="H114" s="10"/>
      <c r="I114" s="10"/>
      <c r="J114" s="10"/>
    </row>
    <row r="116" customFormat="false" ht="16.5" hidden="false" customHeight="true" outlineLevel="0" collapsed="false">
      <c r="B116" s="22" t="s">
        <v>188</v>
      </c>
      <c r="C116" s="22"/>
      <c r="D116" s="22"/>
      <c r="E116" s="22"/>
      <c r="F116" s="22"/>
      <c r="G116" s="22"/>
      <c r="H116" s="22"/>
      <c r="I116" s="22"/>
      <c r="J116" s="22"/>
    </row>
    <row r="117" customFormat="false" ht="16.5" hidden="false" customHeight="true" outlineLevel="0" collapsed="false">
      <c r="B117" s="137" t="s">
        <v>7</v>
      </c>
      <c r="C117" s="23"/>
    </row>
    <row r="118" customFormat="false" ht="15.75" hidden="false" customHeight="false" outlineLevel="0" collapsed="false">
      <c r="B118" s="138" t="s">
        <v>233</v>
      </c>
      <c r="C118" s="139" t="s">
        <v>26</v>
      </c>
      <c r="D118" s="139" t="s">
        <v>234</v>
      </c>
      <c r="E118" s="140" t="s">
        <v>235</v>
      </c>
      <c r="F118" s="140"/>
      <c r="G118" s="141" t="s">
        <v>236</v>
      </c>
      <c r="H118" s="141" t="s">
        <v>237</v>
      </c>
      <c r="I118" s="141" t="s">
        <v>238</v>
      </c>
      <c r="J118" s="142" t="s">
        <v>239</v>
      </c>
    </row>
    <row r="119" customFormat="false" ht="15.75" hidden="false" customHeight="false" outlineLevel="0" collapsed="false">
      <c r="B119" s="143" t="s">
        <v>240</v>
      </c>
      <c r="C119" s="24" t="n">
        <v>5000</v>
      </c>
      <c r="D119" s="24" t="n">
        <v>4</v>
      </c>
      <c r="E119" s="24" t="n">
        <f aca="false">C119*D119</f>
        <v>20000</v>
      </c>
      <c r="F119" s="24"/>
      <c r="J119" s="144"/>
    </row>
    <row r="120" customFormat="false" ht="15.75" hidden="false" customHeight="false" outlineLevel="0" collapsed="false">
      <c r="B120" s="143" t="s">
        <v>242</v>
      </c>
      <c r="C120" s="24" t="n">
        <v>6000</v>
      </c>
      <c r="D120" s="24" t="n">
        <v>5</v>
      </c>
      <c r="E120" s="24" t="n">
        <f aca="false">C120*D120</f>
        <v>30000</v>
      </c>
      <c r="F120" s="24"/>
      <c r="J120" s="144"/>
    </row>
    <row r="121" customFormat="false" ht="15.75" hidden="false" customHeight="false" outlineLevel="0" collapsed="false">
      <c r="B121" s="143" t="s">
        <v>241</v>
      </c>
      <c r="C121" s="24" t="n">
        <v>9000</v>
      </c>
      <c r="D121" s="24" t="n">
        <v>6</v>
      </c>
      <c r="E121" s="24" t="n">
        <f aca="false">C121*D121</f>
        <v>54000</v>
      </c>
      <c r="F121" s="24"/>
      <c r="J121" s="144"/>
    </row>
    <row r="122" customFormat="false" ht="16.5" hidden="false" customHeight="true" outlineLevel="0" collapsed="false">
      <c r="B122" s="146"/>
      <c r="C122" s="147"/>
      <c r="D122" s="148" t="s">
        <v>28</v>
      </c>
      <c r="E122" s="149" t="n">
        <f aca="false">SUM(E119:E121)</f>
        <v>104000</v>
      </c>
      <c r="F122" s="149"/>
      <c r="G122" s="150" t="n">
        <f aca="false">KARDEX!J77</f>
        <v>224000</v>
      </c>
      <c r="H122" s="150" t="n">
        <f aca="false">E122-G122</f>
        <v>-120000</v>
      </c>
      <c r="I122" s="150" t="n">
        <v>90000</v>
      </c>
      <c r="J122" s="151" t="n">
        <f aca="false">H122+I122</f>
        <v>-30000</v>
      </c>
    </row>
    <row r="123" customFormat="false" ht="16.5" hidden="false" customHeight="true" outlineLevel="0" collapsed="false"/>
    <row r="124" customFormat="false" ht="15.75" hidden="false" customHeight="true" outlineLevel="0" collapsed="false">
      <c r="B124" s="153" t="s">
        <v>246</v>
      </c>
      <c r="C124" s="153"/>
      <c r="D124" s="153"/>
      <c r="E124" s="153"/>
      <c r="F124" s="153"/>
    </row>
    <row r="125" customFormat="false" ht="16.5" hidden="false" customHeight="true" outlineLevel="0" collapsed="false">
      <c r="B125" s="153"/>
      <c r="C125" s="153"/>
      <c r="D125" s="153"/>
      <c r="E125" s="153"/>
      <c r="F125" s="153"/>
    </row>
    <row r="126" customFormat="false" ht="15.75" hidden="false" customHeight="false" outlineLevel="0" collapsed="false">
      <c r="B126" s="179" t="s">
        <v>247</v>
      </c>
      <c r="C126" s="180" t="s">
        <v>248</v>
      </c>
      <c r="D126" s="180" t="s">
        <v>248</v>
      </c>
      <c r="E126" s="180" t="s">
        <v>249</v>
      </c>
      <c r="F126" s="181" t="s">
        <v>250</v>
      </c>
    </row>
    <row r="127" customFormat="false" ht="15.75" hidden="false" customHeight="false" outlineLevel="0" collapsed="false">
      <c r="B127" s="182" t="n">
        <v>5</v>
      </c>
      <c r="C127" s="183" t="n">
        <v>6</v>
      </c>
      <c r="D127" s="183" t="n">
        <v>7</v>
      </c>
      <c r="E127" s="183" t="n">
        <v>8</v>
      </c>
      <c r="F127" s="184" t="n">
        <v>9</v>
      </c>
      <c r="G127" s="155" t="s">
        <v>251</v>
      </c>
    </row>
    <row r="128" customFormat="false" ht="15.75" hidden="false" customHeight="false" outlineLevel="0" collapsed="false">
      <c r="B128" s="182" t="n">
        <v>12</v>
      </c>
      <c r="C128" s="183" t="n">
        <v>13</v>
      </c>
      <c r="D128" s="183" t="n">
        <v>14</v>
      </c>
      <c r="E128" s="185" t="n">
        <v>15</v>
      </c>
      <c r="F128" s="186" t="n">
        <v>16</v>
      </c>
      <c r="G128" s="155" t="s">
        <v>262</v>
      </c>
    </row>
    <row r="129" customFormat="false" ht="15.75" hidden="false" customHeight="false" outlineLevel="0" collapsed="false">
      <c r="B129" s="187" t="n">
        <v>19</v>
      </c>
      <c r="C129" s="185" t="n">
        <v>20</v>
      </c>
      <c r="D129" s="185" t="n">
        <v>21</v>
      </c>
      <c r="E129" s="185" t="n">
        <v>22</v>
      </c>
      <c r="F129" s="186" t="n">
        <v>23</v>
      </c>
    </row>
    <row r="130" customFormat="false" ht="16.5" hidden="false" customHeight="true" outlineLevel="0" collapsed="false">
      <c r="B130" s="188" t="n">
        <v>26</v>
      </c>
      <c r="C130" s="189" t="n">
        <v>27</v>
      </c>
      <c r="D130" s="189" t="n">
        <v>28</v>
      </c>
      <c r="E130" s="190" t="n">
        <v>29</v>
      </c>
      <c r="F130" s="191" t="n">
        <v>30</v>
      </c>
    </row>
    <row r="133" customFormat="false" ht="15.75" hidden="false" customHeight="false" outlineLevel="0" collapsed="false">
      <c r="B133" s="23" t="s">
        <v>252</v>
      </c>
    </row>
    <row r="134" customFormat="false" ht="15.75" hidden="false" customHeight="false" outlineLevel="0" collapsed="false">
      <c r="B134" s="22" t="s">
        <v>253</v>
      </c>
      <c r="C134" s="22"/>
    </row>
    <row r="136" customFormat="false" ht="15.75" hidden="false" customHeight="false" outlineLevel="0" collapsed="false">
      <c r="B136" s="156" t="s">
        <v>254</v>
      </c>
      <c r="C136" s="156"/>
      <c r="D136" s="23"/>
      <c r="E136" s="23"/>
      <c r="F136" s="23"/>
    </row>
    <row r="137" customFormat="false" ht="15.75" hidden="false" customHeight="false" outlineLevel="0" collapsed="false">
      <c r="B137" s="156" t="s">
        <v>69</v>
      </c>
      <c r="C137" s="156"/>
      <c r="D137" s="23"/>
      <c r="E137" s="23"/>
      <c r="F137" s="23"/>
    </row>
    <row r="138" customFormat="false" ht="16.5" hidden="false" customHeight="true" outlineLevel="0" collapsed="false">
      <c r="B138" s="157"/>
      <c r="C138" s="157"/>
      <c r="D138" s="23"/>
      <c r="E138" s="23"/>
      <c r="F138" s="23"/>
    </row>
    <row r="139" customFormat="false" ht="16.5" hidden="false" customHeight="true" outlineLevel="0" collapsed="false">
      <c r="B139" s="22"/>
      <c r="C139" s="22"/>
      <c r="D139" s="23"/>
      <c r="E139" s="158" t="s">
        <v>255</v>
      </c>
      <c r="F139" s="158"/>
      <c r="G139" s="159" t="str">
        <f aca="false">'ORDEN P'!G10</f>
        <v>CAMISETA S</v>
      </c>
      <c r="H139" s="159" t="str">
        <f aca="false">'ORDEN P'!G11</f>
        <v>CAMISETA M</v>
      </c>
      <c r="I139" s="159" t="str">
        <f aca="false">'ORDEN P'!G12</f>
        <v>CAMISETA L</v>
      </c>
    </row>
    <row r="140" customFormat="false" ht="33.75" hidden="false" customHeight="true" outlineLevel="0" collapsed="false">
      <c r="B140" s="160" t="s">
        <v>253</v>
      </c>
      <c r="C140" s="160"/>
      <c r="D140" s="161" t="s">
        <v>256</v>
      </c>
      <c r="E140" s="162" t="s">
        <v>257</v>
      </c>
      <c r="F140" s="162" t="s">
        <v>258</v>
      </c>
      <c r="G140" s="163" t="n">
        <v>5000</v>
      </c>
      <c r="H140" s="163" t="n">
        <v>6000</v>
      </c>
      <c r="I140" s="163" t="n">
        <v>9000</v>
      </c>
      <c r="J140" s="164" t="s">
        <v>235</v>
      </c>
    </row>
    <row r="141" customFormat="false" ht="15.75" hidden="false" customHeight="false" outlineLevel="0" collapsed="false">
      <c r="B141" s="165" t="s">
        <v>86</v>
      </c>
      <c r="C141" s="165"/>
      <c r="D141" s="30" t="n">
        <f aca="false">500*12</f>
        <v>6000</v>
      </c>
      <c r="E141" s="28" t="n">
        <v>20000</v>
      </c>
      <c r="F141" s="102" t="n">
        <f aca="false">D141/$E$64</f>
        <v>0.0125</v>
      </c>
      <c r="G141" s="166" t="n">
        <f aca="false">$G$140*F141</f>
        <v>62.5</v>
      </c>
      <c r="H141" s="166" t="n">
        <f aca="false">$H$140*F141</f>
        <v>75</v>
      </c>
      <c r="I141" s="166" t="n">
        <f aca="false">$I$140*F141</f>
        <v>112.5</v>
      </c>
      <c r="J141" s="167" t="n">
        <f aca="false">SUM(G141:I141)</f>
        <v>250</v>
      </c>
    </row>
    <row r="142" customFormat="false" ht="15.75" hidden="false" customHeight="false" outlineLevel="0" collapsed="false">
      <c r="B142" s="165" t="s">
        <v>259</v>
      </c>
      <c r="C142" s="165"/>
      <c r="D142" s="30" t="n">
        <f aca="false">(25*30)*12</f>
        <v>9000</v>
      </c>
      <c r="E142" s="25"/>
      <c r="F142" s="102" t="n">
        <f aca="false">D142/$E$64</f>
        <v>0.01875</v>
      </c>
      <c r="G142" s="166" t="n">
        <f aca="false">$G$140*F142</f>
        <v>93.75</v>
      </c>
      <c r="H142" s="166" t="n">
        <f aca="false">$H$140*F142</f>
        <v>112.5</v>
      </c>
      <c r="I142" s="166" t="n">
        <f aca="false">$I$140*F142</f>
        <v>168.75</v>
      </c>
      <c r="J142" s="167" t="n">
        <f aca="false">SUM(G142:I142)</f>
        <v>375</v>
      </c>
    </row>
    <row r="143" customFormat="false" ht="15.75" hidden="false" customHeight="false" outlineLevel="0" collapsed="false">
      <c r="B143" s="165" t="s">
        <v>88</v>
      </c>
      <c r="C143" s="165"/>
      <c r="D143" s="30" t="n">
        <f aca="false">350*12</f>
        <v>4200</v>
      </c>
      <c r="E143" s="25"/>
      <c r="F143" s="102" t="n">
        <f aca="false">D143/$E$64</f>
        <v>0.00875</v>
      </c>
      <c r="G143" s="166" t="n">
        <f aca="false">$G$140*F143</f>
        <v>43.75</v>
      </c>
      <c r="H143" s="166" t="n">
        <f aca="false">$H$140*F143</f>
        <v>52.5</v>
      </c>
      <c r="I143" s="166" t="n">
        <f aca="false">$I$140*F143</f>
        <v>78.75</v>
      </c>
      <c r="J143" s="167" t="n">
        <f aca="false">SUM(G143:I143)</f>
        <v>175</v>
      </c>
    </row>
    <row r="144" customFormat="false" ht="16.5" hidden="false" customHeight="true" outlineLevel="0" collapsed="false">
      <c r="B144" s="168" t="s">
        <v>89</v>
      </c>
      <c r="C144" s="168"/>
      <c r="D144" s="169" t="n">
        <f aca="false">'LIBRO DIARIO'!F11*10%</f>
        <v>7000</v>
      </c>
      <c r="E144" s="170"/>
      <c r="F144" s="171" t="n">
        <f aca="false">D144/$E$64</f>
        <v>0.0145833333333333</v>
      </c>
      <c r="G144" s="166" t="n">
        <f aca="false">$G$140*F144</f>
        <v>72.9166666666667</v>
      </c>
      <c r="H144" s="166" t="n">
        <f aca="false">$H$140*F144</f>
        <v>87.5</v>
      </c>
      <c r="I144" s="166" t="n">
        <f aca="false">$I$140*F144</f>
        <v>131.25</v>
      </c>
      <c r="J144" s="173" t="n">
        <f aca="false">SUM(G144:I144)</f>
        <v>291.666666666667</v>
      </c>
    </row>
    <row r="145" customFormat="false" ht="16.5" hidden="false" customHeight="true" outlineLevel="0" collapsed="false">
      <c r="D145" s="174"/>
      <c r="F145" s="23"/>
      <c r="G145" s="175" t="n">
        <f aca="false">SUM(G141:G144)</f>
        <v>272.916666666667</v>
      </c>
      <c r="H145" s="175" t="n">
        <f aca="false">SUM(H141:H144)</f>
        <v>327.5</v>
      </c>
      <c r="I145" s="176" t="n">
        <f aca="false">SUM(I141:I144)</f>
        <v>491.25</v>
      </c>
      <c r="J145" s="177" t="n">
        <f aca="false">SUM(G145:I145)</f>
        <v>1091.66666666667</v>
      </c>
    </row>
    <row r="146" customFormat="false" ht="15.75" hidden="false" customHeight="false" outlineLevel="0" collapsed="false">
      <c r="F146" s="23"/>
      <c r="G146" s="23"/>
      <c r="H146" s="23"/>
      <c r="I146" s="23"/>
      <c r="J146" s="23"/>
    </row>
    <row r="148" customFormat="false" ht="15.75" hidden="false" customHeight="false" outlineLevel="0" collapsed="false">
      <c r="B148" s="23" t="s">
        <v>260</v>
      </c>
      <c r="C148" s="23" t="s">
        <v>26</v>
      </c>
      <c r="D148" s="23" t="s">
        <v>261</v>
      </c>
      <c r="E148" s="23" t="s">
        <v>235</v>
      </c>
      <c r="F148" s="23"/>
      <c r="G148" s="23"/>
      <c r="H148" s="23"/>
      <c r="I148" s="23"/>
      <c r="J148" s="23"/>
    </row>
    <row r="149" customFormat="false" ht="15.75" hidden="false" customHeight="false" outlineLevel="0" collapsed="false">
      <c r="B149" s="23" t="n">
        <f aca="false">'ORDEN P'!C87</f>
        <v>0</v>
      </c>
      <c r="C149" s="23" t="n">
        <f aca="false">'ORDEN P'!B87</f>
        <v>0</v>
      </c>
      <c r="D149" s="178" t="n">
        <f aca="false">KARDEX!K165*1.8</f>
        <v>0</v>
      </c>
      <c r="E149" s="178" t="n">
        <f aca="false">C149*D149</f>
        <v>0</v>
      </c>
      <c r="F149" s="23"/>
      <c r="G149" s="23"/>
      <c r="H149" s="23"/>
      <c r="I149" s="23"/>
      <c r="J149" s="23"/>
    </row>
    <row r="150" customFormat="false" ht="15.75" hidden="false" customHeight="false" outlineLevel="0" collapsed="false">
      <c r="B150" s="23" t="n">
        <f aca="false">'ORDEN P'!C88</f>
        <v>0</v>
      </c>
      <c r="C150" s="23" t="n">
        <f aca="false">'ORDEN P'!B88</f>
        <v>0</v>
      </c>
      <c r="D150" s="178" t="n">
        <f aca="false">KARDEX!K179*1.8</f>
        <v>0</v>
      </c>
      <c r="E150" s="178" t="n">
        <f aca="false">C150*D150</f>
        <v>0</v>
      </c>
      <c r="F150" s="23"/>
      <c r="G150" s="23"/>
      <c r="H150" s="23"/>
      <c r="I150" s="23"/>
      <c r="J150" s="23"/>
    </row>
    <row r="151" customFormat="false" ht="15.75" hidden="false" customHeight="false" outlineLevel="0" collapsed="false">
      <c r="B151" s="23" t="n">
        <f aca="false">'ORDEN P'!C89</f>
        <v>0</v>
      </c>
      <c r="C151" s="23" t="n">
        <f aca="false">'ORDEN P'!B89</f>
        <v>0</v>
      </c>
      <c r="D151" s="178" t="n">
        <f aca="false">KARDEX!K193*1.8</f>
        <v>0</v>
      </c>
      <c r="E151" s="178" t="n">
        <f aca="false">C151*D151</f>
        <v>0</v>
      </c>
      <c r="F151" s="23"/>
      <c r="G151" s="23"/>
      <c r="H151" s="23"/>
      <c r="I151" s="23"/>
      <c r="J151" s="23"/>
    </row>
    <row r="152" customFormat="false" ht="15.75" hidden="false" customHeight="false" outlineLevel="0" collapsed="false">
      <c r="B152" s="23"/>
      <c r="C152" s="23"/>
      <c r="D152" s="23"/>
      <c r="E152" s="178" t="n">
        <f aca="false">SUM(E149:E151)</f>
        <v>0</v>
      </c>
      <c r="F152" s="23"/>
      <c r="G152" s="23"/>
      <c r="H152" s="23"/>
      <c r="I152" s="23"/>
      <c r="J152" s="23"/>
    </row>
  </sheetData>
  <mergeCells count="32">
    <mergeCell ref="B2:J2"/>
    <mergeCell ref="B12:J12"/>
    <mergeCell ref="B21:J21"/>
    <mergeCell ref="B30:J30"/>
    <mergeCell ref="B39:J39"/>
    <mergeCell ref="B47:F48"/>
    <mergeCell ref="B57:C57"/>
    <mergeCell ref="B59:C59"/>
    <mergeCell ref="B60:C60"/>
    <mergeCell ref="B62:C62"/>
    <mergeCell ref="E62:F62"/>
    <mergeCell ref="B63:C63"/>
    <mergeCell ref="B64:C64"/>
    <mergeCell ref="B65:C65"/>
    <mergeCell ref="B66:C66"/>
    <mergeCell ref="B67:C67"/>
    <mergeCell ref="B79:J79"/>
    <mergeCell ref="B89:J89"/>
    <mergeCell ref="B98:J98"/>
    <mergeCell ref="B107:J107"/>
    <mergeCell ref="B116:J116"/>
    <mergeCell ref="B124:F125"/>
    <mergeCell ref="B134:C134"/>
    <mergeCell ref="B136:C136"/>
    <mergeCell ref="B137:C137"/>
    <mergeCell ref="B139:C139"/>
    <mergeCell ref="E139:F139"/>
    <mergeCell ref="B140:C140"/>
    <mergeCell ref="B141:C141"/>
    <mergeCell ref="B142:C142"/>
    <mergeCell ref="B143:C143"/>
    <mergeCell ref="B144:C1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1" width="26.16"/>
    <col collapsed="false" customWidth="true" hidden="false" outlineLevel="0" max="3" min="3" style="1" width="15.5"/>
    <col collapsed="false" customWidth="true" hidden="false" outlineLevel="0" max="4" min="4" style="1" width="18.66"/>
    <col collapsed="false" customWidth="true" hidden="false" outlineLevel="0" max="6" min="6" style="1" width="26"/>
    <col collapsed="false" customWidth="true" hidden="false" outlineLevel="0" max="7" min="7" style="1" width="14.82"/>
    <col collapsed="false" customWidth="true" hidden="false" outlineLevel="0" max="8" min="8" style="1" width="22.18"/>
  </cols>
  <sheetData>
    <row r="1" customFormat="false" ht="16.5" hidden="false" customHeight="true" outlineLevel="0" collapsed="false"/>
    <row r="2" customFormat="false" ht="15.75" hidden="false" customHeight="false" outlineLevel="0" collapsed="false">
      <c r="B2" s="192" t="s">
        <v>41</v>
      </c>
      <c r="C2" s="192"/>
      <c r="D2" s="192"/>
      <c r="E2" s="23"/>
      <c r="F2" s="192" t="s">
        <v>41</v>
      </c>
      <c r="G2" s="192"/>
      <c r="H2" s="192"/>
    </row>
    <row r="3" customFormat="false" ht="15.75" hidden="false" customHeight="false" outlineLevel="0" collapsed="false">
      <c r="B3" s="193" t="s">
        <v>263</v>
      </c>
      <c r="C3" s="193"/>
      <c r="D3" s="193"/>
      <c r="E3" s="23"/>
      <c r="F3" s="193" t="s">
        <v>263</v>
      </c>
      <c r="G3" s="193"/>
      <c r="H3" s="193"/>
    </row>
    <row r="4" customFormat="false" ht="15.75" hidden="false" customHeight="false" outlineLevel="0" collapsed="false">
      <c r="B4" s="143" t="s">
        <v>180</v>
      </c>
      <c r="C4" s="194" t="n">
        <v>100</v>
      </c>
      <c r="D4" s="194"/>
      <c r="E4" s="23"/>
      <c r="F4" s="143" t="s">
        <v>180</v>
      </c>
      <c r="G4" s="194" t="n">
        <v>101</v>
      </c>
      <c r="H4" s="194"/>
    </row>
    <row r="5" customFormat="false" ht="15.75" hidden="false" customHeight="false" outlineLevel="0" collapsed="false">
      <c r="B5" s="143" t="s">
        <v>264</v>
      </c>
      <c r="C5" s="195" t="s">
        <v>183</v>
      </c>
      <c r="D5" s="195"/>
      <c r="E5" s="23"/>
      <c r="F5" s="143" t="s">
        <v>264</v>
      </c>
      <c r="G5" s="195" t="s">
        <v>265</v>
      </c>
      <c r="H5" s="195"/>
    </row>
    <row r="6" customFormat="false" ht="15.75" hidden="false" customHeight="false" outlineLevel="0" collapsed="false">
      <c r="B6" s="143" t="s">
        <v>266</v>
      </c>
      <c r="C6" s="195" t="n">
        <v>46027</v>
      </c>
      <c r="D6" s="195"/>
      <c r="F6" s="143" t="s">
        <v>266</v>
      </c>
      <c r="G6" s="195" t="n">
        <v>46037</v>
      </c>
      <c r="H6" s="195"/>
    </row>
    <row r="7" customFormat="false" ht="15.75" hidden="false" customHeight="false" outlineLevel="0" collapsed="false">
      <c r="B7" s="143" t="s">
        <v>267</v>
      </c>
      <c r="D7" s="144"/>
      <c r="F7" s="143" t="s">
        <v>267</v>
      </c>
      <c r="H7" s="144"/>
    </row>
    <row r="8" customFormat="false" ht="15.75" hidden="false" customHeight="false" outlineLevel="0" collapsed="false">
      <c r="B8" s="145"/>
      <c r="D8" s="144"/>
      <c r="F8" s="145"/>
      <c r="H8" s="144"/>
    </row>
    <row r="9" customFormat="false" ht="15.75" hidden="false" customHeight="false" outlineLevel="0" collapsed="false">
      <c r="B9" s="196" t="s">
        <v>26</v>
      </c>
      <c r="C9" s="28" t="s">
        <v>2</v>
      </c>
      <c r="D9" s="197" t="s">
        <v>268</v>
      </c>
      <c r="F9" s="196" t="s">
        <v>26</v>
      </c>
      <c r="G9" s="28" t="s">
        <v>2</v>
      </c>
      <c r="H9" s="197" t="s">
        <v>268</v>
      </c>
    </row>
    <row r="10" customFormat="false" ht="15.75" hidden="false" customHeight="false" outlineLevel="0" collapsed="false">
      <c r="B10" s="198" t="n">
        <v>4000</v>
      </c>
      <c r="C10" s="25" t="s">
        <v>240</v>
      </c>
      <c r="D10" s="199" t="s">
        <v>269</v>
      </c>
      <c r="F10" s="198" t="n">
        <f aca="false">DATOS!C52</f>
        <v>5000</v>
      </c>
      <c r="G10" s="25" t="s">
        <v>240</v>
      </c>
      <c r="H10" s="199" t="s">
        <v>269</v>
      </c>
    </row>
    <row r="11" customFormat="false" ht="15.75" hidden="false" customHeight="false" outlineLevel="0" collapsed="false">
      <c r="B11" s="198" t="n">
        <v>6000</v>
      </c>
      <c r="C11" s="25" t="s">
        <v>242</v>
      </c>
      <c r="D11" s="199" t="s">
        <v>269</v>
      </c>
      <c r="F11" s="198" t="n">
        <f aca="false">DATOS!C53</f>
        <v>6000</v>
      </c>
      <c r="G11" s="25" t="s">
        <v>242</v>
      </c>
      <c r="H11" s="199" t="s">
        <v>269</v>
      </c>
    </row>
    <row r="12" customFormat="false" ht="15.75" hidden="false" customHeight="false" outlineLevel="0" collapsed="false">
      <c r="B12" s="198" t="n">
        <v>5000</v>
      </c>
      <c r="C12" s="25" t="s">
        <v>241</v>
      </c>
      <c r="D12" s="199" t="s">
        <v>269</v>
      </c>
      <c r="F12" s="198" t="n">
        <f aca="false">DATOS!C54</f>
        <v>9000</v>
      </c>
      <c r="G12" s="25" t="s">
        <v>241</v>
      </c>
      <c r="H12" s="199" t="s">
        <v>269</v>
      </c>
    </row>
    <row r="13" customFormat="false" ht="15.75" hidden="false" customHeight="false" outlineLevel="0" collapsed="false">
      <c r="B13" s="198" t="n">
        <f aca="false">SUM(B10:B12)</f>
        <v>15000</v>
      </c>
      <c r="C13" s="29"/>
      <c r="D13" s="200"/>
      <c r="F13" s="198" t="n">
        <f aca="false">SUM(F10:F12)</f>
        <v>20000</v>
      </c>
      <c r="G13" s="29"/>
      <c r="H13" s="200"/>
    </row>
    <row r="14" customFormat="false" ht="15.75" hidden="false" customHeight="false" outlineLevel="0" collapsed="false">
      <c r="B14" s="145"/>
      <c r="D14" s="144"/>
      <c r="F14" s="145"/>
      <c r="H14" s="144"/>
    </row>
    <row r="15" customFormat="false" ht="15.75" hidden="false" customHeight="false" outlineLevel="0" collapsed="false">
      <c r="B15" s="145" t="s">
        <v>270</v>
      </c>
      <c r="D15" s="201" t="s">
        <v>271</v>
      </c>
      <c r="F15" s="145" t="s">
        <v>270</v>
      </c>
      <c r="H15" s="201" t="s">
        <v>271</v>
      </c>
    </row>
    <row r="16" customFormat="false" ht="15.75" hidden="false" customHeight="false" outlineLevel="0" collapsed="false">
      <c r="B16" s="202" t="s">
        <v>264</v>
      </c>
      <c r="D16" s="201" t="s">
        <v>272</v>
      </c>
      <c r="F16" s="202" t="s">
        <v>264</v>
      </c>
      <c r="H16" s="201" t="s">
        <v>272</v>
      </c>
    </row>
    <row r="17" customFormat="false" ht="15.75" hidden="false" customHeight="false" outlineLevel="0" collapsed="false">
      <c r="B17" s="145"/>
      <c r="D17" s="144"/>
      <c r="F17" s="145"/>
      <c r="H17" s="144"/>
    </row>
    <row r="18" customFormat="false" ht="16.5" hidden="false" customHeight="true" outlineLevel="0" collapsed="false">
      <c r="B18" s="146"/>
      <c r="C18" s="147"/>
      <c r="D18" s="203"/>
      <c r="F18" s="146"/>
      <c r="G18" s="147"/>
      <c r="H18" s="203"/>
    </row>
  </sheetData>
  <mergeCells count="10">
    <mergeCell ref="B2:D2"/>
    <mergeCell ref="F2:H2"/>
    <mergeCell ref="B3:D3"/>
    <mergeCell ref="F3:H3"/>
    <mergeCell ref="C4:D4"/>
    <mergeCell ref="G4:H4"/>
    <mergeCell ref="C5:D5"/>
    <mergeCell ref="G5:H5"/>
    <mergeCell ref="C6:D6"/>
    <mergeCell ref="G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83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G35" activeCellId="0" sqref="G35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1" width="20.5"/>
    <col collapsed="false" customWidth="true" hidden="false" outlineLevel="0" max="3" min="3" style="1" width="13.85"/>
    <col collapsed="false" customWidth="true" hidden="false" outlineLevel="0" max="4" min="4" style="1" width="9.5"/>
    <col collapsed="false" customWidth="true" hidden="false" outlineLevel="0" max="6" min="6" style="1" width="11.84"/>
    <col collapsed="false" customWidth="true" hidden="false" outlineLevel="0" max="11" min="11" style="1" width="11.84"/>
    <col collapsed="false" customWidth="true" hidden="false" outlineLevel="0" max="14" min="14" style="1" width="9.83"/>
    <col collapsed="false" customWidth="true" hidden="false" outlineLevel="0" max="16" min="16" style="1" width="12.16"/>
    <col collapsed="false" customWidth="true" hidden="false" outlineLevel="0" max="17" min="17" style="1" width="12.51"/>
  </cols>
  <sheetData>
    <row r="2" customFormat="false" ht="15.75" hidden="false" customHeight="false" outlineLevel="0" collapsed="false">
      <c r="A2" s="204" t="s">
        <v>273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</row>
    <row r="3" customFormat="false" ht="15.75" hidden="false" customHeight="false" outlineLevel="0" collapsed="false">
      <c r="A3" s="204" t="s">
        <v>37</v>
      </c>
      <c r="B3" s="204" t="s">
        <v>68</v>
      </c>
      <c r="C3" s="204"/>
      <c r="D3" s="204"/>
      <c r="E3" s="204"/>
      <c r="F3" s="204"/>
      <c r="G3" s="204"/>
      <c r="H3" s="205" t="s">
        <v>274</v>
      </c>
      <c r="I3" s="205"/>
      <c r="J3" s="205"/>
      <c r="K3" s="206"/>
      <c r="L3" s="204"/>
      <c r="M3" s="204"/>
    </row>
    <row r="4" customFormat="false" ht="51" hidden="false" customHeight="true" outlineLevel="0" collapsed="false">
      <c r="A4" s="207" t="s">
        <v>275</v>
      </c>
      <c r="B4" s="207" t="s">
        <v>276</v>
      </c>
      <c r="C4" s="207" t="s">
        <v>277</v>
      </c>
      <c r="D4" s="208" t="s">
        <v>278</v>
      </c>
      <c r="E4" s="209" t="s">
        <v>279</v>
      </c>
      <c r="F4" s="210" t="s">
        <v>280</v>
      </c>
      <c r="G4" s="210" t="s">
        <v>281</v>
      </c>
      <c r="H4" s="211" t="n">
        <v>0.25</v>
      </c>
      <c r="I4" s="212" t="n">
        <v>0.5</v>
      </c>
      <c r="J4" s="212" t="n">
        <v>1</v>
      </c>
      <c r="K4" s="213" t="s">
        <v>282</v>
      </c>
      <c r="L4" s="208" t="s">
        <v>283</v>
      </c>
      <c r="M4" s="210" t="s">
        <v>284</v>
      </c>
      <c r="N4" s="214" t="s">
        <v>285</v>
      </c>
      <c r="O4" s="214" t="s">
        <v>286</v>
      </c>
      <c r="P4" s="215" t="s">
        <v>287</v>
      </c>
      <c r="Q4" s="214" t="s">
        <v>288</v>
      </c>
      <c r="R4" s="214" t="s">
        <v>289</v>
      </c>
      <c r="S4" s="214" t="s">
        <v>290</v>
      </c>
      <c r="T4" s="29"/>
    </row>
    <row r="5" customFormat="false" ht="15.75" hidden="false" customHeight="false" outlineLevel="0" collapsed="false">
      <c r="A5" s="207" t="n">
        <v>1</v>
      </c>
      <c r="B5" s="207" t="s">
        <v>291</v>
      </c>
      <c r="C5" s="207" t="s">
        <v>292</v>
      </c>
      <c r="D5" s="216" t="n">
        <v>45658</v>
      </c>
      <c r="E5" s="217" t="n">
        <v>482</v>
      </c>
      <c r="F5" s="207" t="n">
        <v>30</v>
      </c>
      <c r="G5" s="217" t="n">
        <f aca="false">(E5/30)*F5</f>
        <v>482</v>
      </c>
      <c r="H5" s="217" t="n">
        <f aca="false">((E5/160)*1.25)*0</f>
        <v>0</v>
      </c>
      <c r="I5" s="217" t="n">
        <f aca="false">((E5/160)*1.5)*4</f>
        <v>18.075</v>
      </c>
      <c r="J5" s="217" t="n">
        <f aca="false">((E5/160)*2)*8</f>
        <v>48.2</v>
      </c>
      <c r="K5" s="207"/>
      <c r="L5" s="218" t="n">
        <f aca="false">(G5+H5+I5+J5+K5)/12</f>
        <v>45.6895833333333</v>
      </c>
      <c r="M5" s="218" t="n">
        <f aca="false">+G5+H5+I5+J5+K5+L5</f>
        <v>593.964583333333</v>
      </c>
      <c r="N5" s="219" t="n">
        <f aca="false">(M5-L5)*9.45%</f>
        <v>51.8119875</v>
      </c>
      <c r="O5" s="29"/>
      <c r="P5" s="29" t="n">
        <v>0</v>
      </c>
      <c r="Q5" s="29"/>
      <c r="R5" s="219" t="n">
        <f aca="false">+N5+O5+P5+Q5</f>
        <v>51.8119875</v>
      </c>
      <c r="S5" s="219" t="n">
        <f aca="false">M5-R5</f>
        <v>542.152595833333</v>
      </c>
      <c r="T5" s="29"/>
    </row>
    <row r="6" customFormat="false" ht="15.75" hidden="false" customHeight="false" outlineLevel="0" collapsed="false">
      <c r="A6" s="207" t="n">
        <v>2</v>
      </c>
      <c r="B6" s="207" t="s">
        <v>293</v>
      </c>
      <c r="C6" s="207" t="s">
        <v>292</v>
      </c>
      <c r="D6" s="216" t="n">
        <v>45659</v>
      </c>
      <c r="E6" s="217" t="n">
        <v>482</v>
      </c>
      <c r="F6" s="207" t="n">
        <v>30</v>
      </c>
      <c r="G6" s="217" t="n">
        <f aca="false">(E6/30)*F6</f>
        <v>482</v>
      </c>
      <c r="H6" s="217" t="n">
        <f aca="false">((E6/160)*1.25)*0</f>
        <v>0</v>
      </c>
      <c r="I6" s="217" t="n">
        <f aca="false">((E6/160)*1.5)*4</f>
        <v>18.075</v>
      </c>
      <c r="J6" s="217" t="n">
        <f aca="false">((E6/160)*2)*8</f>
        <v>48.2</v>
      </c>
      <c r="K6" s="207"/>
      <c r="L6" s="218" t="n">
        <f aca="false">(G6+H6+I6+J6+K6)/12</f>
        <v>45.6895833333333</v>
      </c>
      <c r="M6" s="218" t="n">
        <f aca="false">+G6+H6+I6+J6+K6+L6</f>
        <v>593.964583333333</v>
      </c>
      <c r="N6" s="219" t="n">
        <f aca="false">(M6-L6)*9.45%</f>
        <v>51.8119875</v>
      </c>
      <c r="O6" s="29"/>
      <c r="P6" s="29" t="n">
        <v>0</v>
      </c>
      <c r="Q6" s="29"/>
      <c r="R6" s="219" t="n">
        <f aca="false">+N6+O6+P6+Q6</f>
        <v>51.8119875</v>
      </c>
      <c r="S6" s="219" t="n">
        <f aca="false">M6-R6</f>
        <v>542.152595833333</v>
      </c>
      <c r="T6" s="29"/>
    </row>
    <row r="7" customFormat="false" ht="15.75" hidden="false" customHeight="false" outlineLevel="0" collapsed="false">
      <c r="A7" s="207" t="n">
        <v>3</v>
      </c>
      <c r="B7" s="207" t="s">
        <v>294</v>
      </c>
      <c r="C7" s="207" t="s">
        <v>292</v>
      </c>
      <c r="D7" s="216" t="n">
        <v>45660</v>
      </c>
      <c r="E7" s="217" t="n">
        <v>482</v>
      </c>
      <c r="F7" s="207" t="n">
        <v>30</v>
      </c>
      <c r="G7" s="217" t="n">
        <f aca="false">(E7/30)*F7</f>
        <v>482</v>
      </c>
      <c r="H7" s="217" t="n">
        <f aca="false">((E7/160)*1.25)*0</f>
        <v>0</v>
      </c>
      <c r="I7" s="217" t="n">
        <f aca="false">((E7/160)*1.5)*4</f>
        <v>18.075</v>
      </c>
      <c r="J7" s="217" t="n">
        <f aca="false">((E7/160)*2)*8</f>
        <v>48.2</v>
      </c>
      <c r="K7" s="207"/>
      <c r="L7" s="218" t="n">
        <f aca="false">(G7+H7+I7+J7+K7)/12</f>
        <v>45.6895833333333</v>
      </c>
      <c r="M7" s="218" t="n">
        <f aca="false">+G7+H7+I7+J7+K7+L7</f>
        <v>593.964583333333</v>
      </c>
      <c r="N7" s="219" t="n">
        <f aca="false">(M7-L7)*9.45%</f>
        <v>51.8119875</v>
      </c>
      <c r="O7" s="29"/>
      <c r="P7" s="29" t="n">
        <v>0</v>
      </c>
      <c r="Q7" s="29"/>
      <c r="R7" s="219" t="n">
        <f aca="false">+N7+O7+P7+Q7</f>
        <v>51.8119875</v>
      </c>
      <c r="S7" s="219" t="n">
        <f aca="false">M7-R7</f>
        <v>542.152595833333</v>
      </c>
      <c r="T7" s="29"/>
    </row>
    <row r="8" customFormat="false" ht="15.75" hidden="false" customHeight="false" outlineLevel="0" collapsed="false">
      <c r="A8" s="207" t="n">
        <v>4</v>
      </c>
      <c r="B8" s="207" t="s">
        <v>295</v>
      </c>
      <c r="C8" s="207" t="s">
        <v>292</v>
      </c>
      <c r="D8" s="216" t="n">
        <v>45661</v>
      </c>
      <c r="E8" s="217" t="n">
        <v>482</v>
      </c>
      <c r="F8" s="207" t="n">
        <v>30</v>
      </c>
      <c r="G8" s="217" t="n">
        <f aca="false">(E8/30)*F8</f>
        <v>482</v>
      </c>
      <c r="H8" s="217" t="n">
        <f aca="false">((E8/160)*1.25)*0</f>
        <v>0</v>
      </c>
      <c r="I8" s="217" t="n">
        <f aca="false">((E8/160)*1.5)*4</f>
        <v>18.075</v>
      </c>
      <c r="J8" s="217" t="n">
        <f aca="false">((E8/160)*2)*8</f>
        <v>48.2</v>
      </c>
      <c r="K8" s="207"/>
      <c r="L8" s="218" t="n">
        <f aca="false">(G8+H8+I8+J8+K8)/12</f>
        <v>45.6895833333333</v>
      </c>
      <c r="M8" s="218" t="n">
        <f aca="false">+G8+H8+I8+J8+K8+L8</f>
        <v>593.964583333333</v>
      </c>
      <c r="N8" s="219" t="n">
        <f aca="false">(M8-L8)*9.45%</f>
        <v>51.8119875</v>
      </c>
      <c r="O8" s="29"/>
      <c r="P8" s="29" t="n">
        <v>0</v>
      </c>
      <c r="Q8" s="29"/>
      <c r="R8" s="219" t="n">
        <f aca="false">+N8+O8+P8+Q8</f>
        <v>51.8119875</v>
      </c>
      <c r="S8" s="219" t="n">
        <f aca="false">M8-R8</f>
        <v>542.152595833333</v>
      </c>
      <c r="T8" s="29"/>
    </row>
    <row r="9" customFormat="false" ht="15.75" hidden="false" customHeight="false" outlineLevel="0" collapsed="false">
      <c r="A9" s="207" t="n">
        <v>5</v>
      </c>
      <c r="B9" s="207" t="s">
        <v>296</v>
      </c>
      <c r="C9" s="207" t="s">
        <v>292</v>
      </c>
      <c r="D9" s="216" t="n">
        <v>45662</v>
      </c>
      <c r="E9" s="217" t="n">
        <v>482</v>
      </c>
      <c r="F9" s="207" t="n">
        <v>30</v>
      </c>
      <c r="G9" s="217" t="n">
        <f aca="false">(E9/30)*F9</f>
        <v>482</v>
      </c>
      <c r="H9" s="217" t="n">
        <f aca="false">((E9/160)*1.25)*0</f>
        <v>0</v>
      </c>
      <c r="I9" s="217" t="n">
        <f aca="false">((E9/160)*1.5)*4</f>
        <v>18.075</v>
      </c>
      <c r="J9" s="217" t="n">
        <f aca="false">((E9/160)*2)*8</f>
        <v>48.2</v>
      </c>
      <c r="K9" s="207"/>
      <c r="L9" s="218" t="n">
        <f aca="false">(G9+H9+I9+J9+K9)/12</f>
        <v>45.6895833333333</v>
      </c>
      <c r="M9" s="218" t="n">
        <f aca="false">+G9+H9+I9+J9+K9+L9</f>
        <v>593.964583333333</v>
      </c>
      <c r="N9" s="219" t="n">
        <f aca="false">(M9-L9)*9.45%</f>
        <v>51.8119875</v>
      </c>
      <c r="O9" s="29"/>
      <c r="P9" s="29" t="n">
        <v>0</v>
      </c>
      <c r="Q9" s="29"/>
      <c r="R9" s="219" t="n">
        <f aca="false">+N9+O9+P9+Q9</f>
        <v>51.8119875</v>
      </c>
      <c r="S9" s="219" t="n">
        <f aca="false">M9-R9</f>
        <v>542.152595833333</v>
      </c>
      <c r="T9" s="29"/>
    </row>
    <row r="10" customFormat="false" ht="15.75" hidden="false" customHeight="false" outlineLevel="0" collapsed="false">
      <c r="A10" s="207" t="n">
        <v>6</v>
      </c>
      <c r="B10" s="207" t="s">
        <v>295</v>
      </c>
      <c r="C10" s="207" t="s">
        <v>292</v>
      </c>
      <c r="D10" s="216" t="n">
        <v>45663</v>
      </c>
      <c r="E10" s="217" t="n">
        <v>482</v>
      </c>
      <c r="F10" s="207" t="n">
        <v>30</v>
      </c>
      <c r="G10" s="217" t="n">
        <f aca="false">(E10/30)*F10</f>
        <v>482</v>
      </c>
      <c r="H10" s="217" t="n">
        <f aca="false">((E10/160)*1.25)*0</f>
        <v>0</v>
      </c>
      <c r="I10" s="217" t="n">
        <f aca="false">((E10/160)*1.5)*4</f>
        <v>18.075</v>
      </c>
      <c r="J10" s="217" t="n">
        <f aca="false">((E10/160)*2)*8</f>
        <v>48.2</v>
      </c>
      <c r="K10" s="207"/>
      <c r="L10" s="218" t="n">
        <f aca="false">(G10+H10+I10+J10+K10)/12</f>
        <v>45.6895833333333</v>
      </c>
      <c r="M10" s="218" t="n">
        <f aca="false">+G10+H10+I10+J10+K10+L10</f>
        <v>593.964583333333</v>
      </c>
      <c r="N10" s="219" t="n">
        <f aca="false">(M10-L10)*9.45%</f>
        <v>51.8119875</v>
      </c>
      <c r="O10" s="29"/>
      <c r="P10" s="29" t="n">
        <v>0</v>
      </c>
      <c r="Q10" s="29"/>
      <c r="R10" s="219" t="n">
        <f aca="false">+N10+O10+P10+Q10</f>
        <v>51.8119875</v>
      </c>
      <c r="S10" s="219" t="n">
        <f aca="false">M10-R10</f>
        <v>542.152595833333</v>
      </c>
      <c r="T10" s="29"/>
    </row>
    <row r="11" customFormat="false" ht="15.75" hidden="false" customHeight="false" outlineLevel="0" collapsed="false">
      <c r="A11" s="207" t="n">
        <v>7</v>
      </c>
      <c r="B11" s="207" t="s">
        <v>296</v>
      </c>
      <c r="C11" s="207" t="s">
        <v>292</v>
      </c>
      <c r="D11" s="216" t="n">
        <v>45664</v>
      </c>
      <c r="E11" s="217" t="n">
        <v>482</v>
      </c>
      <c r="F11" s="207" t="n">
        <v>30</v>
      </c>
      <c r="G11" s="217" t="n">
        <f aca="false">(E11/30)*F11</f>
        <v>482</v>
      </c>
      <c r="H11" s="217" t="n">
        <f aca="false">((E11/160)*1.25)*0</f>
        <v>0</v>
      </c>
      <c r="I11" s="217" t="n">
        <f aca="false">((E11/160)*1.5)*4</f>
        <v>18.075</v>
      </c>
      <c r="J11" s="217" t="n">
        <f aca="false">((E11/160)*2)*8</f>
        <v>48.2</v>
      </c>
      <c r="K11" s="207"/>
      <c r="L11" s="218" t="n">
        <f aca="false">(G11+H11+I11+J11+K11)/12</f>
        <v>45.6895833333333</v>
      </c>
      <c r="M11" s="218" t="n">
        <f aca="false">+G11+H11+I11+J11+K11+L11</f>
        <v>593.964583333333</v>
      </c>
      <c r="N11" s="219" t="n">
        <f aca="false">(M11-L11)*9.45%</f>
        <v>51.8119875</v>
      </c>
      <c r="O11" s="29"/>
      <c r="P11" s="29" t="n">
        <v>0</v>
      </c>
      <c r="Q11" s="29"/>
      <c r="R11" s="219" t="n">
        <f aca="false">+N11+O11+P11+Q11</f>
        <v>51.8119875</v>
      </c>
      <c r="S11" s="219" t="n">
        <f aca="false">M11-R11</f>
        <v>542.152595833333</v>
      </c>
      <c r="T11" s="29"/>
    </row>
    <row r="12" customFormat="false" ht="15.75" hidden="false" customHeight="false" outlineLevel="0" collapsed="false">
      <c r="A12" s="207" t="n">
        <v>8</v>
      </c>
      <c r="B12" s="207" t="s">
        <v>295</v>
      </c>
      <c r="C12" s="207" t="s">
        <v>292</v>
      </c>
      <c r="D12" s="216" t="n">
        <v>45665</v>
      </c>
      <c r="E12" s="217" t="n">
        <v>482</v>
      </c>
      <c r="F12" s="207" t="n">
        <v>30</v>
      </c>
      <c r="G12" s="217" t="n">
        <f aca="false">(E12/30)*F12</f>
        <v>482</v>
      </c>
      <c r="H12" s="217" t="n">
        <f aca="false">((E12/160)*1.25)*0</f>
        <v>0</v>
      </c>
      <c r="I12" s="217" t="n">
        <f aca="false">((E12/160)*1.5)*4</f>
        <v>18.075</v>
      </c>
      <c r="J12" s="217" t="n">
        <f aca="false">((E12/160)*2)*8</f>
        <v>48.2</v>
      </c>
      <c r="K12" s="207"/>
      <c r="L12" s="218" t="n">
        <f aca="false">(G12+H12+I12+J12+K12)/12</f>
        <v>45.6895833333333</v>
      </c>
      <c r="M12" s="218" t="n">
        <f aca="false">+G12+H12+I12+J12+K12+L12</f>
        <v>593.964583333333</v>
      </c>
      <c r="N12" s="219" t="n">
        <f aca="false">(M12-L12)*9.45%</f>
        <v>51.8119875</v>
      </c>
      <c r="O12" s="29"/>
      <c r="P12" s="29" t="n">
        <v>0</v>
      </c>
      <c r="Q12" s="29"/>
      <c r="R12" s="219" t="n">
        <f aca="false">+N12+O12+P12+Q12</f>
        <v>51.8119875</v>
      </c>
      <c r="S12" s="219" t="n">
        <f aca="false">M12-R12</f>
        <v>542.152595833333</v>
      </c>
      <c r="T12" s="29"/>
    </row>
    <row r="13" customFormat="false" ht="15.75" hidden="false" customHeight="false" outlineLevel="0" collapsed="false">
      <c r="A13" s="207" t="n">
        <v>9</v>
      </c>
      <c r="B13" s="207" t="s">
        <v>296</v>
      </c>
      <c r="C13" s="207" t="s">
        <v>292</v>
      </c>
      <c r="D13" s="216" t="n">
        <v>45666</v>
      </c>
      <c r="E13" s="217" t="n">
        <v>482</v>
      </c>
      <c r="F13" s="207" t="n">
        <v>30</v>
      </c>
      <c r="G13" s="217" t="n">
        <f aca="false">(E13/30)*F13</f>
        <v>482</v>
      </c>
      <c r="H13" s="217" t="n">
        <f aca="false">((E13/160)*1.25)*0</f>
        <v>0</v>
      </c>
      <c r="I13" s="217" t="n">
        <f aca="false">((E13/160)*1.5)*4</f>
        <v>18.075</v>
      </c>
      <c r="J13" s="217" t="n">
        <f aca="false">((E13/160)*2)*8</f>
        <v>48.2</v>
      </c>
      <c r="K13" s="207"/>
      <c r="L13" s="218" t="n">
        <f aca="false">(G13+H13+I13+J13+K13)/12</f>
        <v>45.6895833333333</v>
      </c>
      <c r="M13" s="218" t="n">
        <f aca="false">+G13+H13+I13+J13+K13+L13</f>
        <v>593.964583333333</v>
      </c>
      <c r="N13" s="219" t="n">
        <f aca="false">(M13-L13)*9.45%</f>
        <v>51.8119875</v>
      </c>
      <c r="O13" s="29"/>
      <c r="P13" s="29" t="n">
        <v>0</v>
      </c>
      <c r="Q13" s="29"/>
      <c r="R13" s="219" t="n">
        <f aca="false">+N13+O13+P13+Q13</f>
        <v>51.8119875</v>
      </c>
      <c r="S13" s="219" t="n">
        <f aca="false">M13-R13</f>
        <v>542.152595833333</v>
      </c>
      <c r="T13" s="29"/>
    </row>
    <row r="14" customFormat="false" ht="15.75" hidden="false" customHeight="false" outlineLevel="0" collapsed="false">
      <c r="A14" s="207" t="n">
        <v>10</v>
      </c>
      <c r="B14" s="207" t="s">
        <v>295</v>
      </c>
      <c r="C14" s="207" t="s">
        <v>292</v>
      </c>
      <c r="D14" s="216" t="n">
        <v>45667</v>
      </c>
      <c r="E14" s="217" t="n">
        <v>482</v>
      </c>
      <c r="F14" s="207" t="n">
        <v>30</v>
      </c>
      <c r="G14" s="217" t="n">
        <f aca="false">(E14/30)*F14</f>
        <v>482</v>
      </c>
      <c r="H14" s="217" t="n">
        <f aca="false">((E14/160)*1.25)*0</f>
        <v>0</v>
      </c>
      <c r="I14" s="217" t="n">
        <f aca="false">((E14/160)*1.5)*4</f>
        <v>18.075</v>
      </c>
      <c r="J14" s="217" t="n">
        <f aca="false">((E14/160)*2)*8</f>
        <v>48.2</v>
      </c>
      <c r="K14" s="207"/>
      <c r="L14" s="218" t="n">
        <f aca="false">(G14+H14+I14+J14+K14)/12</f>
        <v>45.6895833333333</v>
      </c>
      <c r="M14" s="218" t="n">
        <f aca="false">+G14+H14+I14+J14+K14+L14</f>
        <v>593.964583333333</v>
      </c>
      <c r="N14" s="219" t="n">
        <f aca="false">(M14-L14)*9.45%</f>
        <v>51.8119875</v>
      </c>
      <c r="O14" s="29"/>
      <c r="P14" s="29" t="n">
        <v>0</v>
      </c>
      <c r="Q14" s="29"/>
      <c r="R14" s="219" t="n">
        <f aca="false">+N14+O14+P14+Q14</f>
        <v>51.8119875</v>
      </c>
      <c r="S14" s="219" t="n">
        <f aca="false">M14-R14</f>
        <v>542.152595833333</v>
      </c>
      <c r="T14" s="29"/>
    </row>
    <row r="15" customFormat="false" ht="15.75" hidden="false" customHeight="false" outlineLevel="0" collapsed="false">
      <c r="A15" s="207" t="n">
        <v>11</v>
      </c>
      <c r="B15" s="207" t="s">
        <v>296</v>
      </c>
      <c r="C15" s="207" t="s">
        <v>292</v>
      </c>
      <c r="D15" s="216" t="n">
        <v>45668</v>
      </c>
      <c r="E15" s="217" t="n">
        <v>482</v>
      </c>
      <c r="F15" s="207" t="n">
        <v>30</v>
      </c>
      <c r="G15" s="217" t="n">
        <f aca="false">(E15/30)*F15</f>
        <v>482</v>
      </c>
      <c r="H15" s="217" t="n">
        <f aca="false">((E15/160)*1.25)*0</f>
        <v>0</v>
      </c>
      <c r="I15" s="217" t="n">
        <f aca="false">((E15/160)*1.5)*4</f>
        <v>18.075</v>
      </c>
      <c r="J15" s="217" t="n">
        <f aca="false">((E15/160)*2)*8</f>
        <v>48.2</v>
      </c>
      <c r="K15" s="207"/>
      <c r="L15" s="218" t="n">
        <f aca="false">(G15+H15+I15+J15+K15)/12</f>
        <v>45.6895833333333</v>
      </c>
      <c r="M15" s="218" t="n">
        <f aca="false">+G15+H15+I15+J15+K15+L15</f>
        <v>593.964583333333</v>
      </c>
      <c r="N15" s="219" t="n">
        <f aca="false">(M15-L15)*9.45%</f>
        <v>51.8119875</v>
      </c>
      <c r="O15" s="29"/>
      <c r="P15" s="29" t="n">
        <v>0</v>
      </c>
      <c r="Q15" s="29"/>
      <c r="R15" s="219" t="n">
        <f aca="false">+N15+O15+P15+Q15</f>
        <v>51.8119875</v>
      </c>
      <c r="S15" s="219" t="n">
        <f aca="false">M15-R15</f>
        <v>542.152595833333</v>
      </c>
      <c r="T15" s="29"/>
    </row>
    <row r="16" customFormat="false" ht="15.75" hidden="false" customHeight="false" outlineLevel="0" collapsed="false">
      <c r="A16" s="207" t="n">
        <v>12</v>
      </c>
      <c r="B16" s="207" t="s">
        <v>295</v>
      </c>
      <c r="C16" s="207" t="s">
        <v>292</v>
      </c>
      <c r="D16" s="216" t="n">
        <v>45669</v>
      </c>
      <c r="E16" s="217" t="n">
        <v>482</v>
      </c>
      <c r="F16" s="207" t="n">
        <v>30</v>
      </c>
      <c r="G16" s="217" t="n">
        <f aca="false">(E16/30)*F16</f>
        <v>482</v>
      </c>
      <c r="H16" s="217" t="n">
        <f aca="false">((E16/160)*1.25)*0</f>
        <v>0</v>
      </c>
      <c r="I16" s="217" t="n">
        <f aca="false">((E16/160)*1.5)*4</f>
        <v>18.075</v>
      </c>
      <c r="J16" s="217" t="n">
        <f aca="false">((E16/160)*2)*8</f>
        <v>48.2</v>
      </c>
      <c r="K16" s="207"/>
      <c r="L16" s="218" t="n">
        <f aca="false">(G16+H16+I16+J16+K16)/12</f>
        <v>45.6895833333333</v>
      </c>
      <c r="M16" s="218" t="n">
        <f aca="false">+G16+H16+I16+J16+K16+L16</f>
        <v>593.964583333333</v>
      </c>
      <c r="N16" s="219" t="n">
        <f aca="false">(M16-L16)*9.45%</f>
        <v>51.8119875</v>
      </c>
      <c r="O16" s="29"/>
      <c r="P16" s="29" t="n">
        <v>0</v>
      </c>
      <c r="Q16" s="29"/>
      <c r="R16" s="219" t="n">
        <f aca="false">+N16+O16+P16+Q16</f>
        <v>51.8119875</v>
      </c>
      <c r="S16" s="219" t="n">
        <f aca="false">M16-R16</f>
        <v>542.152595833333</v>
      </c>
      <c r="T16" s="29"/>
    </row>
    <row r="17" customFormat="false" ht="15.75" hidden="false" customHeight="false" outlineLevel="0" collapsed="false">
      <c r="A17" s="207" t="n">
        <v>13</v>
      </c>
      <c r="B17" s="207" t="s">
        <v>296</v>
      </c>
      <c r="C17" s="207" t="s">
        <v>292</v>
      </c>
      <c r="D17" s="216" t="n">
        <v>45670</v>
      </c>
      <c r="E17" s="217" t="n">
        <v>482</v>
      </c>
      <c r="F17" s="207" t="n">
        <v>30</v>
      </c>
      <c r="G17" s="217" t="n">
        <f aca="false">(E17/30)*F17</f>
        <v>482</v>
      </c>
      <c r="H17" s="217" t="n">
        <f aca="false">((E17/160)*1.25)*0</f>
        <v>0</v>
      </c>
      <c r="I17" s="217" t="n">
        <f aca="false">((E17/160)*1.5)*4</f>
        <v>18.075</v>
      </c>
      <c r="J17" s="217" t="n">
        <f aca="false">((E17/160)*2)*8</f>
        <v>48.2</v>
      </c>
      <c r="K17" s="207"/>
      <c r="L17" s="218" t="n">
        <f aca="false">(G17+H17+I17+J17+K17)/12</f>
        <v>45.6895833333333</v>
      </c>
      <c r="M17" s="218" t="n">
        <f aca="false">+G17+H17+I17+J17+K17+L17</f>
        <v>593.964583333333</v>
      </c>
      <c r="N17" s="219" t="n">
        <f aca="false">(M17-L17)*9.45%</f>
        <v>51.8119875</v>
      </c>
      <c r="O17" s="29"/>
      <c r="P17" s="29" t="n">
        <v>0</v>
      </c>
      <c r="Q17" s="29"/>
      <c r="R17" s="219" t="n">
        <f aca="false">+N17+O17+P17+Q17</f>
        <v>51.8119875</v>
      </c>
      <c r="S17" s="219" t="n">
        <f aca="false">M17-R17</f>
        <v>542.152595833333</v>
      </c>
      <c r="T17" s="29"/>
    </row>
    <row r="18" customFormat="false" ht="15.75" hidden="false" customHeight="false" outlineLevel="0" collapsed="false">
      <c r="A18" s="207" t="n">
        <v>14</v>
      </c>
      <c r="B18" s="207" t="s">
        <v>295</v>
      </c>
      <c r="C18" s="207" t="s">
        <v>292</v>
      </c>
      <c r="D18" s="216" t="n">
        <v>45671</v>
      </c>
      <c r="E18" s="217" t="n">
        <v>482</v>
      </c>
      <c r="F18" s="207" t="n">
        <v>30</v>
      </c>
      <c r="G18" s="217" t="n">
        <f aca="false">(E18/30)*F18</f>
        <v>482</v>
      </c>
      <c r="H18" s="217" t="n">
        <f aca="false">((E18/160)*1.25)*0</f>
        <v>0</v>
      </c>
      <c r="I18" s="217" t="n">
        <f aca="false">((E18/160)*1.5)*4</f>
        <v>18.075</v>
      </c>
      <c r="J18" s="217" t="n">
        <f aca="false">((E18/160)*2)*8</f>
        <v>48.2</v>
      </c>
      <c r="K18" s="207"/>
      <c r="L18" s="218" t="n">
        <f aca="false">(G18+H18+I18+J18+K18)/12</f>
        <v>45.6895833333333</v>
      </c>
      <c r="M18" s="218" t="n">
        <f aca="false">+G18+H18+I18+J18+K18+L18</f>
        <v>593.964583333333</v>
      </c>
      <c r="N18" s="219" t="n">
        <f aca="false">(M18-L18)*9.45%</f>
        <v>51.8119875</v>
      </c>
      <c r="O18" s="29"/>
      <c r="P18" s="29" t="n">
        <v>0</v>
      </c>
      <c r="Q18" s="29"/>
      <c r="R18" s="219" t="n">
        <f aca="false">+N18+O18+P18+Q18</f>
        <v>51.8119875</v>
      </c>
      <c r="S18" s="219" t="n">
        <f aca="false">M18-R18</f>
        <v>542.152595833333</v>
      </c>
      <c r="T18" s="29"/>
    </row>
    <row r="19" customFormat="false" ht="15.75" hidden="false" customHeight="false" outlineLevel="0" collapsed="false">
      <c r="A19" s="207" t="n">
        <v>15</v>
      </c>
      <c r="B19" s="207" t="s">
        <v>296</v>
      </c>
      <c r="C19" s="207" t="s">
        <v>292</v>
      </c>
      <c r="D19" s="216" t="n">
        <v>45672</v>
      </c>
      <c r="E19" s="217" t="n">
        <v>482</v>
      </c>
      <c r="F19" s="207" t="n">
        <v>30</v>
      </c>
      <c r="G19" s="217" t="n">
        <f aca="false">(E19/30)*F19</f>
        <v>482</v>
      </c>
      <c r="H19" s="217" t="n">
        <f aca="false">((E19/160)*1.25)*0</f>
        <v>0</v>
      </c>
      <c r="I19" s="217" t="n">
        <f aca="false">((E19/160)*1.5)*4</f>
        <v>18.075</v>
      </c>
      <c r="J19" s="217" t="n">
        <f aca="false">((E19/160)*2)*8</f>
        <v>48.2</v>
      </c>
      <c r="K19" s="207"/>
      <c r="L19" s="218" t="n">
        <f aca="false">(G19+H19+I19+J19+K19)/12</f>
        <v>45.6895833333333</v>
      </c>
      <c r="M19" s="218" t="n">
        <f aca="false">+G19+H19+I19+J19+K19+L19</f>
        <v>593.964583333333</v>
      </c>
      <c r="N19" s="219" t="n">
        <f aca="false">(M19-L19)*9.45%</f>
        <v>51.8119875</v>
      </c>
      <c r="O19" s="29"/>
      <c r="P19" s="29" t="n">
        <v>0</v>
      </c>
      <c r="Q19" s="29"/>
      <c r="R19" s="219" t="n">
        <f aca="false">+N19+O19+P19+Q19</f>
        <v>51.8119875</v>
      </c>
      <c r="S19" s="219" t="n">
        <f aca="false">M19-R19</f>
        <v>542.152595833333</v>
      </c>
      <c r="T19" s="29"/>
    </row>
    <row r="20" customFormat="false" ht="15.75" hidden="false" customHeight="false" outlineLevel="0" collapsed="false">
      <c r="A20" s="207" t="n">
        <v>16</v>
      </c>
      <c r="B20" s="207" t="s">
        <v>295</v>
      </c>
      <c r="C20" s="207" t="s">
        <v>292</v>
      </c>
      <c r="D20" s="216" t="n">
        <v>45673</v>
      </c>
      <c r="E20" s="217" t="n">
        <v>482</v>
      </c>
      <c r="F20" s="207" t="n">
        <v>30</v>
      </c>
      <c r="G20" s="217" t="n">
        <f aca="false">(E20/30)*F20</f>
        <v>482</v>
      </c>
      <c r="H20" s="217" t="n">
        <f aca="false">((E20/160)*1.25)*0</f>
        <v>0</v>
      </c>
      <c r="I20" s="217" t="n">
        <f aca="false">((E20/160)*1.5)*4</f>
        <v>18.075</v>
      </c>
      <c r="J20" s="217" t="n">
        <f aca="false">((E20/160)*2)*8</f>
        <v>48.2</v>
      </c>
      <c r="K20" s="207"/>
      <c r="L20" s="218" t="n">
        <f aca="false">(G20+H20+I20+J20+K20)/12*0</f>
        <v>0</v>
      </c>
      <c r="M20" s="218" t="n">
        <f aca="false">+G20+H20+I20+J20+K20+L20</f>
        <v>548.275</v>
      </c>
      <c r="N20" s="219" t="n">
        <f aca="false">(M20-L20)*9.45%</f>
        <v>51.8119875</v>
      </c>
      <c r="O20" s="29"/>
      <c r="P20" s="29" t="n">
        <v>0</v>
      </c>
      <c r="Q20" s="29"/>
      <c r="R20" s="219" t="n">
        <f aca="false">+N20+O20+P20+Q20</f>
        <v>51.8119875</v>
      </c>
      <c r="S20" s="219" t="n">
        <f aca="false">M20-R20</f>
        <v>496.4630125</v>
      </c>
      <c r="T20" s="29"/>
    </row>
    <row r="21" customFormat="false" ht="15.75" hidden="false" customHeight="false" outlineLevel="0" collapsed="false">
      <c r="A21" s="207" t="n">
        <v>17</v>
      </c>
      <c r="B21" s="207" t="s">
        <v>296</v>
      </c>
      <c r="C21" s="207" t="s">
        <v>292</v>
      </c>
      <c r="D21" s="216" t="n">
        <v>45674</v>
      </c>
      <c r="E21" s="217" t="n">
        <v>482</v>
      </c>
      <c r="F21" s="207" t="n">
        <v>30</v>
      </c>
      <c r="G21" s="217" t="n">
        <f aca="false">(E21/30)*F21</f>
        <v>482</v>
      </c>
      <c r="H21" s="217" t="n">
        <f aca="false">((E21/160)*1.25)*0</f>
        <v>0</v>
      </c>
      <c r="I21" s="217" t="n">
        <f aca="false">((E21/160)*1.5)*4</f>
        <v>18.075</v>
      </c>
      <c r="J21" s="217" t="n">
        <f aca="false">((E21/160)*2)*8</f>
        <v>48.2</v>
      </c>
      <c r="K21" s="207"/>
      <c r="L21" s="218" t="n">
        <f aca="false">(G21+H21+I21+J21+K21)/12*0</f>
        <v>0</v>
      </c>
      <c r="M21" s="218" t="n">
        <f aca="false">+G21+H21+I21+J21+K21+L21</f>
        <v>548.275</v>
      </c>
      <c r="N21" s="219" t="n">
        <f aca="false">(M21-L21)*9.45%</f>
        <v>51.8119875</v>
      </c>
      <c r="O21" s="29"/>
      <c r="P21" s="29" t="n">
        <v>0</v>
      </c>
      <c r="Q21" s="29"/>
      <c r="R21" s="219" t="n">
        <f aca="false">+N21+O21+P21+Q21</f>
        <v>51.8119875</v>
      </c>
      <c r="S21" s="219" t="n">
        <f aca="false">M21-R21</f>
        <v>496.4630125</v>
      </c>
      <c r="T21" s="29"/>
    </row>
    <row r="22" customFormat="false" ht="15.75" hidden="false" customHeight="false" outlineLevel="0" collapsed="false">
      <c r="A22" s="207" t="n">
        <v>18</v>
      </c>
      <c r="B22" s="207" t="s">
        <v>295</v>
      </c>
      <c r="C22" s="207" t="s">
        <v>292</v>
      </c>
      <c r="D22" s="216" t="n">
        <v>45675</v>
      </c>
      <c r="E22" s="217" t="n">
        <v>482</v>
      </c>
      <c r="F22" s="207" t="n">
        <v>30</v>
      </c>
      <c r="G22" s="217" t="n">
        <f aca="false">(E22/30)*F22</f>
        <v>482</v>
      </c>
      <c r="H22" s="217" t="n">
        <f aca="false">((E22/160)*1.25)*0</f>
        <v>0</v>
      </c>
      <c r="I22" s="217" t="n">
        <f aca="false">((E22/160)*1.5)*4</f>
        <v>18.075</v>
      </c>
      <c r="J22" s="217" t="n">
        <f aca="false">((E22/160)*2)*8</f>
        <v>48.2</v>
      </c>
      <c r="K22" s="207"/>
      <c r="L22" s="218" t="n">
        <f aca="false">(G22+H22+I22+J22+K22)/12*0</f>
        <v>0</v>
      </c>
      <c r="M22" s="218" t="n">
        <f aca="false">+G22+H22+I22+J22+K22+L22</f>
        <v>548.275</v>
      </c>
      <c r="N22" s="219" t="n">
        <f aca="false">(M22-L22)*9.45%</f>
        <v>51.8119875</v>
      </c>
      <c r="O22" s="29"/>
      <c r="P22" s="29" t="n">
        <v>0</v>
      </c>
      <c r="Q22" s="29"/>
      <c r="R22" s="219" t="n">
        <f aca="false">+N22+O22+P22+Q22</f>
        <v>51.8119875</v>
      </c>
      <c r="S22" s="219" t="n">
        <f aca="false">M22-R22</f>
        <v>496.4630125</v>
      </c>
      <c r="T22" s="29"/>
    </row>
    <row r="23" customFormat="false" ht="15.75" hidden="false" customHeight="false" outlineLevel="0" collapsed="false">
      <c r="A23" s="207" t="n">
        <v>19</v>
      </c>
      <c r="B23" s="207" t="s">
        <v>296</v>
      </c>
      <c r="C23" s="207" t="s">
        <v>292</v>
      </c>
      <c r="D23" s="216" t="n">
        <v>45676</v>
      </c>
      <c r="E23" s="217" t="n">
        <v>482</v>
      </c>
      <c r="F23" s="207" t="n">
        <v>30</v>
      </c>
      <c r="G23" s="217" t="n">
        <f aca="false">(E23/30)*F23</f>
        <v>482</v>
      </c>
      <c r="H23" s="217" t="n">
        <f aca="false">((E23/160)*1.25)*0</f>
        <v>0</v>
      </c>
      <c r="I23" s="217" t="n">
        <f aca="false">((E23/160)*1.5)*4</f>
        <v>18.075</v>
      </c>
      <c r="J23" s="217" t="n">
        <f aca="false">((E23/160)*2)*8</f>
        <v>48.2</v>
      </c>
      <c r="K23" s="207"/>
      <c r="L23" s="218" t="n">
        <f aca="false">(G23+H23+I23+J23+K23)/12*0</f>
        <v>0</v>
      </c>
      <c r="M23" s="218" t="n">
        <f aca="false">+G23+H23+I23+J23+K23+L23</f>
        <v>548.275</v>
      </c>
      <c r="N23" s="219" t="n">
        <f aca="false">(M23-L23)*9.45%</f>
        <v>51.8119875</v>
      </c>
      <c r="O23" s="29"/>
      <c r="P23" s="29" t="n">
        <v>0</v>
      </c>
      <c r="Q23" s="29"/>
      <c r="R23" s="219" t="n">
        <f aca="false">+N23+O23+P23+Q23</f>
        <v>51.8119875</v>
      </c>
      <c r="S23" s="219" t="n">
        <f aca="false">M23-R23</f>
        <v>496.4630125</v>
      </c>
      <c r="T23" s="29"/>
    </row>
    <row r="24" customFormat="false" ht="15.75" hidden="false" customHeight="false" outlineLevel="0" collapsed="false">
      <c r="A24" s="207" t="n">
        <v>20</v>
      </c>
      <c r="B24" s="207" t="s">
        <v>295</v>
      </c>
      <c r="C24" s="207" t="s">
        <v>292</v>
      </c>
      <c r="D24" s="216" t="n">
        <v>45677</v>
      </c>
      <c r="E24" s="217" t="n">
        <v>482</v>
      </c>
      <c r="F24" s="207" t="n">
        <v>30</v>
      </c>
      <c r="G24" s="217" t="n">
        <f aca="false">(E24/30)*F24</f>
        <v>482</v>
      </c>
      <c r="H24" s="217" t="n">
        <f aca="false">((E24/160)*1.25)*0</f>
        <v>0</v>
      </c>
      <c r="I24" s="217" t="n">
        <f aca="false">((E24/160)*1.5)*4</f>
        <v>18.075</v>
      </c>
      <c r="J24" s="217" t="n">
        <f aca="false">((E24/160)*2)*8</f>
        <v>48.2</v>
      </c>
      <c r="K24" s="207"/>
      <c r="L24" s="218" t="n">
        <f aca="false">(G24+H24+I24+J24+K24)/12*0</f>
        <v>0</v>
      </c>
      <c r="M24" s="218" t="n">
        <f aca="false">+G24+H24+I24+J24+K24+L24</f>
        <v>548.275</v>
      </c>
      <c r="N24" s="219" t="n">
        <f aca="false">(M24-L24)*9.45%</f>
        <v>51.8119875</v>
      </c>
      <c r="O24" s="29"/>
      <c r="P24" s="29" t="n">
        <v>0</v>
      </c>
      <c r="Q24" s="29"/>
      <c r="R24" s="219" t="n">
        <f aca="false">+N24+O24+P24+Q24</f>
        <v>51.8119875</v>
      </c>
      <c r="S24" s="219" t="n">
        <f aca="false">M24-R24</f>
        <v>496.4630125</v>
      </c>
      <c r="T24" s="29"/>
    </row>
    <row r="25" customFormat="false" ht="15.75" hidden="false" customHeight="false" outlineLevel="0" collapsed="false">
      <c r="A25" s="207" t="n">
        <v>21</v>
      </c>
      <c r="B25" s="207" t="s">
        <v>296</v>
      </c>
      <c r="C25" s="207" t="s">
        <v>292</v>
      </c>
      <c r="D25" s="216" t="n">
        <v>45678</v>
      </c>
      <c r="E25" s="217" t="n">
        <v>482</v>
      </c>
      <c r="F25" s="207" t="n">
        <v>30</v>
      </c>
      <c r="G25" s="217" t="n">
        <f aca="false">(E25/30)*F25</f>
        <v>482</v>
      </c>
      <c r="H25" s="217" t="n">
        <f aca="false">((E25/160)*1.25)*0</f>
        <v>0</v>
      </c>
      <c r="I25" s="217" t="n">
        <f aca="false">((E25/160)*1.5)*4</f>
        <v>18.075</v>
      </c>
      <c r="J25" s="217" t="n">
        <f aca="false">((E25/160)*2)*8</f>
        <v>48.2</v>
      </c>
      <c r="K25" s="207"/>
      <c r="L25" s="218" t="n">
        <f aca="false">(G25+H25+I25+J25+K25)/12*0</f>
        <v>0</v>
      </c>
      <c r="M25" s="218" t="n">
        <f aca="false">+G25+H25+I25+J25+K25+L25</f>
        <v>548.275</v>
      </c>
      <c r="N25" s="219" t="n">
        <f aca="false">(M25-L25)*9.45%</f>
        <v>51.8119875</v>
      </c>
      <c r="O25" s="29"/>
      <c r="P25" s="29" t="n">
        <v>0</v>
      </c>
      <c r="Q25" s="29"/>
      <c r="R25" s="219" t="n">
        <f aca="false">+N25+O25+P25+Q25</f>
        <v>51.8119875</v>
      </c>
      <c r="S25" s="219" t="n">
        <f aca="false">M25-R25</f>
        <v>496.4630125</v>
      </c>
      <c r="T25" s="29"/>
    </row>
    <row r="26" customFormat="false" ht="15.75" hidden="false" customHeight="false" outlineLevel="0" collapsed="false">
      <c r="A26" s="207" t="n">
        <v>22</v>
      </c>
      <c r="B26" s="207" t="s">
        <v>295</v>
      </c>
      <c r="C26" s="207" t="s">
        <v>292</v>
      </c>
      <c r="D26" s="216" t="n">
        <v>45679</v>
      </c>
      <c r="E26" s="217" t="n">
        <v>482</v>
      </c>
      <c r="F26" s="207" t="n">
        <v>30</v>
      </c>
      <c r="G26" s="217" t="n">
        <f aca="false">(E26/30)*F26</f>
        <v>482</v>
      </c>
      <c r="H26" s="217" t="n">
        <f aca="false">((E26/160)*1.25)*0</f>
        <v>0</v>
      </c>
      <c r="I26" s="217" t="n">
        <f aca="false">((E26/160)*1.5)*4</f>
        <v>18.075</v>
      </c>
      <c r="J26" s="217" t="n">
        <f aca="false">((E26/160)*2)*8</f>
        <v>48.2</v>
      </c>
      <c r="K26" s="207"/>
      <c r="L26" s="218" t="n">
        <f aca="false">(G26+H26+I26+J26+K26)/12*0</f>
        <v>0</v>
      </c>
      <c r="M26" s="218" t="n">
        <f aca="false">+G26+H26+I26+J26+K26+L26</f>
        <v>548.275</v>
      </c>
      <c r="N26" s="219" t="n">
        <f aca="false">(M26-L26)*9.45%</f>
        <v>51.8119875</v>
      </c>
      <c r="O26" s="29"/>
      <c r="P26" s="29" t="n">
        <v>0</v>
      </c>
      <c r="Q26" s="29"/>
      <c r="R26" s="219" t="n">
        <f aca="false">+N26+O26+P26+Q26</f>
        <v>51.8119875</v>
      </c>
      <c r="S26" s="219" t="n">
        <f aca="false">M26-R26</f>
        <v>496.4630125</v>
      </c>
      <c r="T26" s="29"/>
    </row>
    <row r="27" customFormat="false" ht="15.75" hidden="false" customHeight="false" outlineLevel="0" collapsed="false">
      <c r="A27" s="207" t="n">
        <v>23</v>
      </c>
      <c r="B27" s="207" t="s">
        <v>296</v>
      </c>
      <c r="C27" s="207" t="s">
        <v>292</v>
      </c>
      <c r="D27" s="216" t="n">
        <v>45680</v>
      </c>
      <c r="E27" s="217" t="n">
        <v>482</v>
      </c>
      <c r="F27" s="207" t="n">
        <v>30</v>
      </c>
      <c r="G27" s="217" t="n">
        <f aca="false">(E27/30)*F27</f>
        <v>482</v>
      </c>
      <c r="H27" s="217" t="n">
        <f aca="false">((E27/160)*1.25)*0</f>
        <v>0</v>
      </c>
      <c r="I27" s="217" t="n">
        <f aca="false">((E27/160)*1.5)*4</f>
        <v>18.075</v>
      </c>
      <c r="J27" s="217" t="n">
        <f aca="false">((E27/160)*2)*8</f>
        <v>48.2</v>
      </c>
      <c r="K27" s="207"/>
      <c r="L27" s="218" t="n">
        <f aca="false">(G27+H27+I27+J27+K27)/12*0</f>
        <v>0</v>
      </c>
      <c r="M27" s="218" t="n">
        <f aca="false">+G27+H27+I27+J27+K27+L27</f>
        <v>548.275</v>
      </c>
      <c r="N27" s="219" t="n">
        <f aca="false">(M27-L27)*9.45%</f>
        <v>51.8119875</v>
      </c>
      <c r="O27" s="29"/>
      <c r="P27" s="29" t="n">
        <v>0</v>
      </c>
      <c r="Q27" s="29"/>
      <c r="R27" s="219" t="n">
        <f aca="false">+N27+O27+P27+Q27</f>
        <v>51.8119875</v>
      </c>
      <c r="S27" s="219" t="n">
        <f aca="false">M27-R27</f>
        <v>496.4630125</v>
      </c>
      <c r="T27" s="29"/>
    </row>
    <row r="28" customFormat="false" ht="15.75" hidden="false" customHeight="false" outlineLevel="0" collapsed="false">
      <c r="A28" s="207" t="n">
        <v>24</v>
      </c>
      <c r="B28" s="207" t="s">
        <v>295</v>
      </c>
      <c r="C28" s="207" t="s">
        <v>292</v>
      </c>
      <c r="D28" s="216" t="n">
        <v>45681</v>
      </c>
      <c r="E28" s="217" t="n">
        <v>482</v>
      </c>
      <c r="F28" s="207" t="n">
        <v>30</v>
      </c>
      <c r="G28" s="217" t="n">
        <f aca="false">(E28/30)*F28</f>
        <v>482</v>
      </c>
      <c r="H28" s="217" t="n">
        <f aca="false">((E28/160)*1.25)*0</f>
        <v>0</v>
      </c>
      <c r="I28" s="217" t="n">
        <f aca="false">((E28/160)*1.5)*4</f>
        <v>18.075</v>
      </c>
      <c r="J28" s="217" t="n">
        <f aca="false">((E28/160)*2)*8</f>
        <v>48.2</v>
      </c>
      <c r="K28" s="207"/>
      <c r="L28" s="218" t="n">
        <f aca="false">(G28+H28+I28+J28+K28)/12*0</f>
        <v>0</v>
      </c>
      <c r="M28" s="218" t="n">
        <f aca="false">+G28+H28+I28+J28+K28+L28</f>
        <v>548.275</v>
      </c>
      <c r="N28" s="219" t="n">
        <f aca="false">(M28-L28)*9.45%</f>
        <v>51.8119875</v>
      </c>
      <c r="O28" s="29"/>
      <c r="P28" s="29" t="n">
        <v>0</v>
      </c>
      <c r="Q28" s="29"/>
      <c r="R28" s="219" t="n">
        <f aca="false">+N28+O28+P28+Q28</f>
        <v>51.8119875</v>
      </c>
      <c r="S28" s="219" t="n">
        <f aca="false">M28-R28</f>
        <v>496.4630125</v>
      </c>
      <c r="T28" s="29"/>
    </row>
    <row r="29" customFormat="false" ht="15.75" hidden="false" customHeight="false" outlineLevel="0" collapsed="false">
      <c r="A29" s="207" t="n">
        <v>25</v>
      </c>
      <c r="B29" s="207" t="s">
        <v>296</v>
      </c>
      <c r="C29" s="207" t="s">
        <v>292</v>
      </c>
      <c r="D29" s="216" t="n">
        <v>45682</v>
      </c>
      <c r="E29" s="217" t="n">
        <v>482</v>
      </c>
      <c r="F29" s="207" t="n">
        <v>30</v>
      </c>
      <c r="G29" s="217" t="n">
        <f aca="false">(E29/30)*F29</f>
        <v>482</v>
      </c>
      <c r="H29" s="217" t="n">
        <f aca="false">((E29/160)*1.25)*0</f>
        <v>0</v>
      </c>
      <c r="I29" s="217" t="n">
        <f aca="false">((E29/160)*1.5)*4</f>
        <v>18.075</v>
      </c>
      <c r="J29" s="217" t="n">
        <f aca="false">((E29/160)*2)*8</f>
        <v>48.2</v>
      </c>
      <c r="K29" s="207"/>
      <c r="L29" s="218" t="n">
        <f aca="false">(G29+H29+I29+J29+K29)/12*0</f>
        <v>0</v>
      </c>
      <c r="M29" s="218" t="n">
        <f aca="false">+G29+H29+I29+J29+K29+L29</f>
        <v>548.275</v>
      </c>
      <c r="N29" s="219" t="n">
        <f aca="false">(M29-L29)*9.45%</f>
        <v>51.8119875</v>
      </c>
      <c r="O29" s="29"/>
      <c r="P29" s="29" t="n">
        <v>0</v>
      </c>
      <c r="Q29" s="29"/>
      <c r="R29" s="219" t="n">
        <f aca="false">+N29+O29+P29+Q29</f>
        <v>51.8119875</v>
      </c>
      <c r="S29" s="219" t="n">
        <f aca="false">M29-R29</f>
        <v>496.4630125</v>
      </c>
      <c r="T29" s="29"/>
    </row>
    <row r="30" customFormat="false" ht="15.75" hidden="false" customHeight="false" outlineLevel="0" collapsed="false">
      <c r="A30" s="207" t="n">
        <v>26</v>
      </c>
      <c r="B30" s="207" t="s">
        <v>295</v>
      </c>
      <c r="C30" s="207" t="s">
        <v>292</v>
      </c>
      <c r="D30" s="216" t="n">
        <v>45683</v>
      </c>
      <c r="E30" s="217" t="n">
        <v>482</v>
      </c>
      <c r="F30" s="207" t="n">
        <v>30</v>
      </c>
      <c r="G30" s="217" t="n">
        <f aca="false">(E30/30)*F30</f>
        <v>482</v>
      </c>
      <c r="H30" s="217" t="n">
        <f aca="false">((E30/160)*1.25)*0</f>
        <v>0</v>
      </c>
      <c r="I30" s="217" t="n">
        <f aca="false">((E30/160)*1.5)*4</f>
        <v>18.075</v>
      </c>
      <c r="J30" s="217" t="n">
        <f aca="false">((E30/160)*2)*8</f>
        <v>48.2</v>
      </c>
      <c r="K30" s="207"/>
      <c r="L30" s="218" t="n">
        <f aca="false">(G30+H30+I30+J30+K30)/12*0</f>
        <v>0</v>
      </c>
      <c r="M30" s="218" t="n">
        <f aca="false">+G30+H30+I30+J30+K30+L30</f>
        <v>548.275</v>
      </c>
      <c r="N30" s="219" t="n">
        <f aca="false">(M30-L30)*9.45%</f>
        <v>51.8119875</v>
      </c>
      <c r="O30" s="29"/>
      <c r="P30" s="29" t="n">
        <v>0</v>
      </c>
      <c r="Q30" s="29"/>
      <c r="R30" s="219" t="n">
        <f aca="false">+N30+O30+P30+Q30</f>
        <v>51.8119875</v>
      </c>
      <c r="S30" s="219" t="n">
        <f aca="false">M30-R30</f>
        <v>496.4630125</v>
      </c>
      <c r="T30" s="29"/>
    </row>
    <row r="31" customFormat="false" ht="15.75" hidden="false" customHeight="false" outlineLevel="0" collapsed="false">
      <c r="A31" s="207" t="n">
        <v>27</v>
      </c>
      <c r="B31" s="207" t="s">
        <v>296</v>
      </c>
      <c r="C31" s="207" t="s">
        <v>292</v>
      </c>
      <c r="D31" s="216" t="n">
        <v>45684</v>
      </c>
      <c r="E31" s="217" t="n">
        <v>482</v>
      </c>
      <c r="F31" s="207" t="n">
        <v>30</v>
      </c>
      <c r="G31" s="217" t="n">
        <f aca="false">(E31/30)*F31</f>
        <v>482</v>
      </c>
      <c r="H31" s="217" t="n">
        <f aca="false">((E31/160)*1.25)*0</f>
        <v>0</v>
      </c>
      <c r="I31" s="217" t="n">
        <f aca="false">((E31/160)*1.5)*4</f>
        <v>18.075</v>
      </c>
      <c r="J31" s="217" t="n">
        <f aca="false">((E31/160)*2)*8</f>
        <v>48.2</v>
      </c>
      <c r="K31" s="207"/>
      <c r="L31" s="218" t="n">
        <f aca="false">(G31+H31+I31+J31+K31)/12*0</f>
        <v>0</v>
      </c>
      <c r="M31" s="218" t="n">
        <f aca="false">+G31+H31+I31+J31+K31+L31</f>
        <v>548.275</v>
      </c>
      <c r="N31" s="219" t="n">
        <f aca="false">(M31-L31)*9.45%</f>
        <v>51.8119875</v>
      </c>
      <c r="O31" s="29"/>
      <c r="P31" s="29" t="n">
        <v>0</v>
      </c>
      <c r="Q31" s="29"/>
      <c r="R31" s="219" t="n">
        <f aca="false">+N31+O31+P31+Q31</f>
        <v>51.8119875</v>
      </c>
      <c r="S31" s="219" t="n">
        <f aca="false">M31-R31</f>
        <v>496.4630125</v>
      </c>
      <c r="T31" s="29"/>
    </row>
    <row r="32" customFormat="false" ht="15.75" hidden="false" customHeight="false" outlineLevel="0" collapsed="false">
      <c r="A32" s="207" t="n">
        <v>28</v>
      </c>
      <c r="B32" s="207" t="s">
        <v>295</v>
      </c>
      <c r="C32" s="207" t="s">
        <v>292</v>
      </c>
      <c r="D32" s="216" t="n">
        <v>45685</v>
      </c>
      <c r="E32" s="217" t="n">
        <v>482</v>
      </c>
      <c r="F32" s="207" t="n">
        <v>30</v>
      </c>
      <c r="G32" s="217" t="n">
        <f aca="false">(E32/30)*F32</f>
        <v>482</v>
      </c>
      <c r="H32" s="217" t="n">
        <f aca="false">((E32/160)*1.25)*0</f>
        <v>0</v>
      </c>
      <c r="I32" s="217" t="n">
        <f aca="false">((E32/160)*1.5)*4</f>
        <v>18.075</v>
      </c>
      <c r="J32" s="217" t="n">
        <f aca="false">((E32/160)*2)*8</f>
        <v>48.2</v>
      </c>
      <c r="K32" s="207"/>
      <c r="L32" s="218" t="n">
        <f aca="false">(G32+H32+I32+J32+K32)/12*0</f>
        <v>0</v>
      </c>
      <c r="M32" s="218" t="n">
        <f aca="false">+G32+H32+I32+J32+K32+L32</f>
        <v>548.275</v>
      </c>
      <c r="N32" s="219" t="n">
        <f aca="false">(M32-L32)*9.45%</f>
        <v>51.8119875</v>
      </c>
      <c r="O32" s="29"/>
      <c r="P32" s="29" t="n">
        <v>0</v>
      </c>
      <c r="Q32" s="29"/>
      <c r="R32" s="219" t="n">
        <f aca="false">+N32+O32+P32+Q32</f>
        <v>51.8119875</v>
      </c>
      <c r="S32" s="219" t="n">
        <f aca="false">M32-R32</f>
        <v>496.4630125</v>
      </c>
      <c r="T32" s="29"/>
    </row>
    <row r="33" customFormat="false" ht="15.75" hidden="false" customHeight="false" outlineLevel="0" collapsed="false">
      <c r="A33" s="207" t="n">
        <v>29</v>
      </c>
      <c r="B33" s="207" t="s">
        <v>296</v>
      </c>
      <c r="C33" s="207" t="s">
        <v>292</v>
      </c>
      <c r="D33" s="216" t="n">
        <v>45686</v>
      </c>
      <c r="E33" s="217" t="n">
        <v>482</v>
      </c>
      <c r="F33" s="207" t="n">
        <v>30</v>
      </c>
      <c r="G33" s="217" t="n">
        <f aca="false">(E33/30)*F33</f>
        <v>482</v>
      </c>
      <c r="H33" s="217" t="n">
        <f aca="false">((E33/160)*1.25)*0</f>
        <v>0</v>
      </c>
      <c r="I33" s="217" t="n">
        <f aca="false">((E33/160)*1.5)*4</f>
        <v>18.075</v>
      </c>
      <c r="J33" s="217" t="n">
        <f aca="false">((E33/160)*2)*8</f>
        <v>48.2</v>
      </c>
      <c r="K33" s="207"/>
      <c r="L33" s="218" t="n">
        <f aca="false">(G33+H33+I33+J33+K33)/12*0</f>
        <v>0</v>
      </c>
      <c r="M33" s="218" t="n">
        <f aca="false">+G33+H33+I33+J33+K33+L33</f>
        <v>548.275</v>
      </c>
      <c r="N33" s="219" t="n">
        <f aca="false">(M33-L33)*9.45%</f>
        <v>51.8119875</v>
      </c>
      <c r="O33" s="29"/>
      <c r="P33" s="29" t="n">
        <v>0</v>
      </c>
      <c r="Q33" s="29"/>
      <c r="R33" s="219" t="n">
        <f aca="false">+N33+O33+P33+Q33</f>
        <v>51.8119875</v>
      </c>
      <c r="S33" s="219" t="n">
        <f aca="false">M33-R33</f>
        <v>496.4630125</v>
      </c>
      <c r="T33" s="29"/>
    </row>
    <row r="34" customFormat="false" ht="15.75" hidden="false" customHeight="false" outlineLevel="0" collapsed="false">
      <c r="A34" s="207" t="n">
        <v>30</v>
      </c>
      <c r="B34" s="207" t="s">
        <v>295</v>
      </c>
      <c r="C34" s="207" t="s">
        <v>292</v>
      </c>
      <c r="D34" s="216" t="n">
        <v>45687</v>
      </c>
      <c r="E34" s="217" t="n">
        <v>482</v>
      </c>
      <c r="F34" s="207" t="n">
        <v>30</v>
      </c>
      <c r="G34" s="217" t="n">
        <f aca="false">(E34/30)*F34</f>
        <v>482</v>
      </c>
      <c r="H34" s="217" t="n">
        <f aca="false">((E34/160)*1.25)*0</f>
        <v>0</v>
      </c>
      <c r="I34" s="217" t="n">
        <f aca="false">((E34/160)*1.5)*4</f>
        <v>18.075</v>
      </c>
      <c r="J34" s="217" t="n">
        <f aca="false">((E34/160)*2)*8</f>
        <v>48.2</v>
      </c>
      <c r="K34" s="207"/>
      <c r="L34" s="218" t="n">
        <f aca="false">(G34+H34+I34+J34+K34)/12*0</f>
        <v>0</v>
      </c>
      <c r="M34" s="218" t="n">
        <f aca="false">+G34+H34+I34+J34+K34+L34</f>
        <v>548.275</v>
      </c>
      <c r="N34" s="219" t="n">
        <f aca="false">(M34-L34)*9.45%</f>
        <v>51.8119875</v>
      </c>
      <c r="O34" s="29"/>
      <c r="P34" s="29" t="n">
        <v>0</v>
      </c>
      <c r="Q34" s="29"/>
      <c r="R34" s="219" t="n">
        <f aca="false">+N34+O34+P34+Q34</f>
        <v>51.8119875</v>
      </c>
      <c r="S34" s="219" t="n">
        <f aca="false">M34-R34</f>
        <v>496.4630125</v>
      </c>
      <c r="T34" s="29"/>
    </row>
    <row r="35" customFormat="false" ht="15.75" hidden="false" customHeight="false" outlineLevel="0" collapsed="false">
      <c r="A35" s="204"/>
      <c r="B35" s="204"/>
      <c r="C35" s="204"/>
      <c r="D35" s="204"/>
      <c r="E35" s="220" t="n">
        <f aca="false">SUM(E5:E34)</f>
        <v>14460</v>
      </c>
      <c r="F35" s="220" t="n">
        <f aca="false">SUM(F5:F34)</f>
        <v>900</v>
      </c>
      <c r="G35" s="220" t="n">
        <f aca="false">SUM(G5:G34)</f>
        <v>14460</v>
      </c>
      <c r="H35" s="220" t="n">
        <f aca="false">SUM(H5:H34)</f>
        <v>0</v>
      </c>
      <c r="I35" s="220" t="n">
        <f aca="false">SUM(I5:I34)</f>
        <v>542.25</v>
      </c>
      <c r="J35" s="220" t="n">
        <f aca="false">SUM(J5:J34)</f>
        <v>1446</v>
      </c>
      <c r="K35" s="220" t="n">
        <f aca="false">SUM(K5:K34)</f>
        <v>0</v>
      </c>
      <c r="L35" s="220" t="n">
        <f aca="false">SUM(L5:L34)</f>
        <v>685.34375</v>
      </c>
      <c r="M35" s="220" t="n">
        <f aca="false">SUM(M5:M34)</f>
        <v>17133.59375</v>
      </c>
      <c r="N35" s="220" t="n">
        <f aca="false">SUM(N5:N34)</f>
        <v>1554.359625</v>
      </c>
      <c r="O35" s="220" t="n">
        <f aca="false">SUM(O5:O34)</f>
        <v>0</v>
      </c>
      <c r="P35" s="220" t="n">
        <f aca="false">SUM(P5:P34)</f>
        <v>0</v>
      </c>
      <c r="Q35" s="220" t="n">
        <f aca="false">SUM(Q5:Q34)</f>
        <v>0</v>
      </c>
      <c r="R35" s="220" t="n">
        <f aca="false">SUM(R5:R34)</f>
        <v>1554.359625</v>
      </c>
      <c r="S35" s="220" t="n">
        <f aca="false">SUM(S5:S34)</f>
        <v>15579.234125</v>
      </c>
    </row>
    <row r="36" customFormat="false" ht="15.75" hidden="false" customHeight="false" outlineLevel="0" collapsed="false">
      <c r="A36" s="204"/>
      <c r="B36" s="204"/>
      <c r="C36" s="204"/>
      <c r="D36" s="204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</row>
    <row r="37" customFormat="false" ht="15.75" hidden="false" customHeight="false" outlineLevel="0" collapsed="false">
      <c r="A37" s="204" t="s">
        <v>37</v>
      </c>
      <c r="B37" s="204" t="s">
        <v>297</v>
      </c>
      <c r="C37" s="204"/>
      <c r="D37" s="204"/>
      <c r="E37" s="204"/>
      <c r="F37" s="204"/>
      <c r="G37" s="204"/>
      <c r="H37" s="205" t="s">
        <v>274</v>
      </c>
      <c r="I37" s="205"/>
      <c r="J37" s="205"/>
      <c r="K37" s="206"/>
      <c r="L37" s="204"/>
      <c r="M37" s="204"/>
    </row>
    <row r="38" customFormat="false" ht="51" hidden="false" customHeight="true" outlineLevel="0" collapsed="false">
      <c r="A38" s="207" t="s">
        <v>275</v>
      </c>
      <c r="B38" s="207" t="s">
        <v>276</v>
      </c>
      <c r="C38" s="207" t="s">
        <v>277</v>
      </c>
      <c r="D38" s="208" t="s">
        <v>278</v>
      </c>
      <c r="E38" s="209" t="s">
        <v>279</v>
      </c>
      <c r="F38" s="210" t="s">
        <v>280</v>
      </c>
      <c r="G38" s="210" t="s">
        <v>281</v>
      </c>
      <c r="H38" s="211" t="n">
        <v>0.25</v>
      </c>
      <c r="I38" s="212" t="n">
        <v>0.5</v>
      </c>
      <c r="J38" s="212" t="n">
        <v>1</v>
      </c>
      <c r="K38" s="213" t="s">
        <v>282</v>
      </c>
      <c r="L38" s="208" t="s">
        <v>283</v>
      </c>
      <c r="M38" s="210" t="s">
        <v>284</v>
      </c>
      <c r="N38" s="214" t="s">
        <v>285</v>
      </c>
      <c r="O38" s="214" t="s">
        <v>286</v>
      </c>
      <c r="P38" s="215" t="s">
        <v>287</v>
      </c>
      <c r="Q38" s="214" t="s">
        <v>288</v>
      </c>
      <c r="R38" s="214" t="s">
        <v>289</v>
      </c>
      <c r="S38" s="214" t="s">
        <v>290</v>
      </c>
      <c r="T38" s="29"/>
    </row>
    <row r="39" customFormat="false" ht="15.75" hidden="false" customHeight="false" outlineLevel="0" collapsed="false">
      <c r="A39" s="207" t="n">
        <v>1</v>
      </c>
      <c r="B39" s="207" t="s">
        <v>291</v>
      </c>
      <c r="C39" s="207" t="s">
        <v>298</v>
      </c>
      <c r="D39" s="216" t="n">
        <v>45658</v>
      </c>
      <c r="E39" s="217" t="n">
        <v>700</v>
      </c>
      <c r="F39" s="207" t="n">
        <v>30</v>
      </c>
      <c r="G39" s="217" t="n">
        <f aca="false">(E39/30)*F39</f>
        <v>700</v>
      </c>
      <c r="H39" s="217" t="n">
        <f aca="false">((E39/160)*1.25)*0</f>
        <v>0</v>
      </c>
      <c r="I39" s="217" t="n">
        <f aca="false">((E39/160)*1.5)*4</f>
        <v>26.25</v>
      </c>
      <c r="J39" s="217" t="n">
        <f aca="false">((E39/160)*2)*8</f>
        <v>70</v>
      </c>
      <c r="K39" s="217" t="n">
        <v>100</v>
      </c>
      <c r="L39" s="218" t="n">
        <f aca="false">(G39+H39+I39+J39+K39)/12</f>
        <v>74.6875</v>
      </c>
      <c r="M39" s="218" t="n">
        <f aca="false">+G39+H39+I39+J39+K39+L39</f>
        <v>970.9375</v>
      </c>
      <c r="N39" s="219" t="n">
        <f aca="false">(M39-L39)*9.45%</f>
        <v>84.695625</v>
      </c>
      <c r="O39" s="29"/>
      <c r="P39" s="29" t="n">
        <v>0</v>
      </c>
      <c r="Q39" s="29"/>
      <c r="R39" s="219" t="n">
        <f aca="false">+N39+O39+P39+Q39</f>
        <v>84.695625</v>
      </c>
      <c r="S39" s="219" t="n">
        <f aca="false">M39-R39</f>
        <v>886.241875</v>
      </c>
      <c r="T39" s="29"/>
    </row>
    <row r="40" customFormat="false" ht="15.75" hidden="false" customHeight="false" outlineLevel="0" collapsed="false">
      <c r="A40" s="207" t="n">
        <v>2</v>
      </c>
      <c r="B40" s="207" t="s">
        <v>293</v>
      </c>
      <c r="C40" s="207" t="s">
        <v>299</v>
      </c>
      <c r="D40" s="216" t="n">
        <v>45659</v>
      </c>
      <c r="E40" s="217" t="n">
        <v>650</v>
      </c>
      <c r="F40" s="207" t="n">
        <v>30</v>
      </c>
      <c r="G40" s="217" t="n">
        <f aca="false">(E40/30)*F40</f>
        <v>650</v>
      </c>
      <c r="H40" s="217" t="n">
        <f aca="false">((E40/160)*1.25)*0</f>
        <v>0</v>
      </c>
      <c r="I40" s="217" t="n">
        <f aca="false">((E40/160)*1.5)*4</f>
        <v>24.375</v>
      </c>
      <c r="J40" s="217" t="n">
        <f aca="false">((E40/160)*2)*8</f>
        <v>65</v>
      </c>
      <c r="K40" s="207" t="n">
        <v>60</v>
      </c>
      <c r="L40" s="218" t="n">
        <f aca="false">(G40+H40+I40+J40+K40)/12</f>
        <v>66.6145833333333</v>
      </c>
      <c r="M40" s="218" t="n">
        <f aca="false">+G40+H40+I40+J40+K40+L40</f>
        <v>865.989583333333</v>
      </c>
      <c r="N40" s="219" t="n">
        <f aca="false">(M40-L40)*9.45%</f>
        <v>75.5409375</v>
      </c>
      <c r="O40" s="29"/>
      <c r="P40" s="29" t="n">
        <v>0</v>
      </c>
      <c r="Q40" s="29"/>
      <c r="R40" s="219" t="n">
        <f aca="false">+N40+O40+P40+Q40</f>
        <v>75.5409375</v>
      </c>
      <c r="S40" s="219" t="n">
        <f aca="false">M40-R40</f>
        <v>790.448645833333</v>
      </c>
      <c r="T40" s="29"/>
    </row>
    <row r="41" customFormat="false" ht="15.75" hidden="false" customHeight="false" outlineLevel="0" collapsed="false">
      <c r="A41" s="204"/>
      <c r="B41" s="204"/>
      <c r="C41" s="204"/>
      <c r="D41" s="204"/>
      <c r="E41" s="220"/>
      <c r="F41" s="220"/>
      <c r="G41" s="220" t="n">
        <f aca="false">SUM(G39:G40)</f>
        <v>1350</v>
      </c>
      <c r="H41" s="220" t="n">
        <f aca="false">SUM(H39:H40)</f>
        <v>0</v>
      </c>
      <c r="I41" s="220" t="n">
        <f aca="false">SUM(I39:I40)</f>
        <v>50.625</v>
      </c>
      <c r="J41" s="220" t="n">
        <f aca="false">SUM(J39:J40)</f>
        <v>135</v>
      </c>
      <c r="K41" s="220" t="n">
        <f aca="false">SUM(K39:K40)</f>
        <v>160</v>
      </c>
      <c r="L41" s="220" t="n">
        <f aca="false">SUM(L39:L40)</f>
        <v>141.302083333333</v>
      </c>
      <c r="M41" s="220" t="n">
        <f aca="false">SUM(M39:M40)</f>
        <v>1836.92708333333</v>
      </c>
      <c r="N41" s="220" t="n">
        <f aca="false">SUM(N39:N40)</f>
        <v>160.2365625</v>
      </c>
      <c r="O41" s="220" t="n">
        <f aca="false">SUM(O39:O40)</f>
        <v>0</v>
      </c>
      <c r="P41" s="220" t="n">
        <f aca="false">SUM(P39:P40)</f>
        <v>0</v>
      </c>
      <c r="Q41" s="220" t="n">
        <f aca="false">SUM(Q39:Q40)</f>
        <v>0</v>
      </c>
      <c r="R41" s="220" t="n">
        <f aca="false">SUM(R39:R40)</f>
        <v>160.2365625</v>
      </c>
      <c r="S41" s="220" t="n">
        <f aca="false">SUM(S39:S40)</f>
        <v>1676.69052083333</v>
      </c>
    </row>
    <row r="42" customFormat="false" ht="15.75" hidden="false" customHeight="false" outlineLevel="0" collapsed="false">
      <c r="A42" s="1" t="s">
        <v>300</v>
      </c>
    </row>
    <row r="43" customFormat="false" ht="15.75" hidden="false" customHeight="false" outlineLevel="0" collapsed="false">
      <c r="D43" s="1" t="s">
        <v>301</v>
      </c>
    </row>
    <row r="46" customFormat="false" ht="51" hidden="false" customHeight="true" outlineLevel="0" collapsed="false">
      <c r="A46" s="29" t="s">
        <v>275</v>
      </c>
      <c r="B46" s="29" t="s">
        <v>276</v>
      </c>
      <c r="C46" s="29" t="s">
        <v>277</v>
      </c>
      <c r="D46" s="221" t="s">
        <v>278</v>
      </c>
      <c r="E46" s="214" t="s">
        <v>284</v>
      </c>
      <c r="F46" s="29" t="s">
        <v>302</v>
      </c>
      <c r="G46" s="29" t="s">
        <v>303</v>
      </c>
      <c r="H46" s="29" t="s">
        <v>304</v>
      </c>
      <c r="I46" s="214" t="s">
        <v>305</v>
      </c>
      <c r="J46" s="214" t="s">
        <v>306</v>
      </c>
      <c r="K46" s="214" t="s">
        <v>307</v>
      </c>
    </row>
    <row r="47" customFormat="false" ht="15.75" hidden="false" customHeight="false" outlineLevel="0" collapsed="false">
      <c r="A47" s="207" t="n">
        <v>1</v>
      </c>
      <c r="B47" s="207" t="s">
        <v>291</v>
      </c>
      <c r="C47" s="207" t="s">
        <v>292</v>
      </c>
      <c r="D47" s="216" t="n">
        <v>45200</v>
      </c>
      <c r="E47" s="219" t="n">
        <f aca="false">M5-L5</f>
        <v>548.275</v>
      </c>
      <c r="F47" s="31" t="n">
        <f aca="false">E47/12</f>
        <v>45.6895833333333</v>
      </c>
      <c r="G47" s="31" t="n">
        <f aca="false">482/12</f>
        <v>40.1666666666667</v>
      </c>
      <c r="H47" s="31" t="n">
        <f aca="false">E47/24</f>
        <v>22.8447916666667</v>
      </c>
      <c r="I47" s="31" t="n">
        <v>0</v>
      </c>
      <c r="J47" s="31" t="n">
        <f aca="false">E47*12.15%</f>
        <v>66.6154125</v>
      </c>
      <c r="K47" s="31" t="n">
        <f aca="false">SUM(F47:J47)</f>
        <v>175.316454166667</v>
      </c>
    </row>
    <row r="48" customFormat="false" ht="15.75" hidden="false" customHeight="false" outlineLevel="0" collapsed="false">
      <c r="A48" s="207" t="n">
        <v>2</v>
      </c>
      <c r="B48" s="207" t="s">
        <v>293</v>
      </c>
      <c r="C48" s="207" t="s">
        <v>292</v>
      </c>
      <c r="D48" s="216" t="n">
        <v>45201</v>
      </c>
      <c r="E48" s="219" t="n">
        <f aca="false">M6-L6</f>
        <v>548.275</v>
      </c>
      <c r="F48" s="31" t="n">
        <f aca="false">E48/12</f>
        <v>45.6895833333333</v>
      </c>
      <c r="G48" s="31" t="n">
        <f aca="false">482/12</f>
        <v>40.1666666666667</v>
      </c>
      <c r="H48" s="31" t="n">
        <f aca="false">E48/24</f>
        <v>22.8447916666667</v>
      </c>
      <c r="I48" s="31" t="n">
        <v>0</v>
      </c>
      <c r="J48" s="31" t="n">
        <f aca="false">E48*12.15%</f>
        <v>66.6154125</v>
      </c>
      <c r="K48" s="31" t="n">
        <f aca="false">SUM(F48:J48)</f>
        <v>175.316454166667</v>
      </c>
    </row>
    <row r="49" customFormat="false" ht="15.75" hidden="false" customHeight="false" outlineLevel="0" collapsed="false">
      <c r="A49" s="207" t="n">
        <v>3</v>
      </c>
      <c r="B49" s="207" t="s">
        <v>294</v>
      </c>
      <c r="C49" s="207" t="s">
        <v>292</v>
      </c>
      <c r="D49" s="216" t="n">
        <v>45202</v>
      </c>
      <c r="E49" s="219" t="n">
        <f aca="false">M7-L7</f>
        <v>548.275</v>
      </c>
      <c r="F49" s="31" t="n">
        <f aca="false">E49/12</f>
        <v>45.6895833333333</v>
      </c>
      <c r="G49" s="31" t="n">
        <f aca="false">482/12</f>
        <v>40.1666666666667</v>
      </c>
      <c r="H49" s="31" t="n">
        <f aca="false">E49/24</f>
        <v>22.8447916666667</v>
      </c>
      <c r="I49" s="31" t="n">
        <v>0</v>
      </c>
      <c r="J49" s="31" t="n">
        <f aca="false">E49*12.15%</f>
        <v>66.6154125</v>
      </c>
      <c r="K49" s="31" t="n">
        <f aca="false">SUM(F49:J49)</f>
        <v>175.316454166667</v>
      </c>
    </row>
    <row r="50" customFormat="false" ht="15.75" hidden="false" customHeight="false" outlineLevel="0" collapsed="false">
      <c r="A50" s="207" t="n">
        <v>4</v>
      </c>
      <c r="B50" s="207" t="s">
        <v>295</v>
      </c>
      <c r="C50" s="207" t="s">
        <v>292</v>
      </c>
      <c r="D50" s="216" t="n">
        <v>45203</v>
      </c>
      <c r="E50" s="219" t="n">
        <f aca="false">M8-L8</f>
        <v>548.275</v>
      </c>
      <c r="F50" s="31" t="n">
        <f aca="false">E50/12</f>
        <v>45.6895833333333</v>
      </c>
      <c r="G50" s="31" t="n">
        <f aca="false">482/12</f>
        <v>40.1666666666667</v>
      </c>
      <c r="H50" s="31" t="n">
        <f aca="false">E50/24</f>
        <v>22.8447916666667</v>
      </c>
      <c r="I50" s="31" t="n">
        <v>0</v>
      </c>
      <c r="J50" s="31" t="n">
        <f aca="false">E50*12.15%</f>
        <v>66.6154125</v>
      </c>
      <c r="K50" s="31" t="n">
        <f aca="false">SUM(F50:J50)</f>
        <v>175.316454166667</v>
      </c>
    </row>
    <row r="51" customFormat="false" ht="15.75" hidden="false" customHeight="false" outlineLevel="0" collapsed="false">
      <c r="A51" s="207" t="n">
        <v>5</v>
      </c>
      <c r="B51" s="207" t="s">
        <v>296</v>
      </c>
      <c r="C51" s="207" t="s">
        <v>292</v>
      </c>
      <c r="D51" s="216" t="n">
        <v>45204</v>
      </c>
      <c r="E51" s="219" t="n">
        <f aca="false">M9-L9</f>
        <v>548.275</v>
      </c>
      <c r="F51" s="31" t="n">
        <f aca="false">E51/12</f>
        <v>45.6895833333333</v>
      </c>
      <c r="G51" s="31" t="n">
        <f aca="false">482/12</f>
        <v>40.1666666666667</v>
      </c>
      <c r="H51" s="31" t="n">
        <f aca="false">E51/24</f>
        <v>22.8447916666667</v>
      </c>
      <c r="I51" s="31" t="n">
        <v>0</v>
      </c>
      <c r="J51" s="31" t="n">
        <f aca="false">E51*12.15%</f>
        <v>66.6154125</v>
      </c>
      <c r="K51" s="31" t="n">
        <f aca="false">SUM(F51:J51)</f>
        <v>175.316454166667</v>
      </c>
    </row>
    <row r="52" customFormat="false" ht="15.75" hidden="false" customHeight="false" outlineLevel="0" collapsed="false">
      <c r="A52" s="207" t="n">
        <v>6</v>
      </c>
      <c r="B52" s="207" t="s">
        <v>291</v>
      </c>
      <c r="C52" s="207" t="s">
        <v>292</v>
      </c>
      <c r="D52" s="216" t="n">
        <v>45205</v>
      </c>
      <c r="E52" s="219" t="n">
        <f aca="false">M10-L10</f>
        <v>548.275</v>
      </c>
      <c r="F52" s="31" t="n">
        <f aca="false">E52/12</f>
        <v>45.6895833333333</v>
      </c>
      <c r="G52" s="31" t="n">
        <f aca="false">482/12</f>
        <v>40.1666666666667</v>
      </c>
      <c r="H52" s="31" t="n">
        <f aca="false">E52/24</f>
        <v>22.8447916666667</v>
      </c>
      <c r="I52" s="31" t="n">
        <v>0</v>
      </c>
      <c r="J52" s="31" t="n">
        <f aca="false">E52*12.15%</f>
        <v>66.6154125</v>
      </c>
      <c r="K52" s="31" t="n">
        <f aca="false">SUM(F52:J52)</f>
        <v>175.316454166667</v>
      </c>
    </row>
    <row r="53" customFormat="false" ht="15.75" hidden="false" customHeight="false" outlineLevel="0" collapsed="false">
      <c r="A53" s="207" t="n">
        <v>7</v>
      </c>
      <c r="B53" s="207" t="s">
        <v>293</v>
      </c>
      <c r="C53" s="207" t="s">
        <v>292</v>
      </c>
      <c r="D53" s="216" t="n">
        <v>45206</v>
      </c>
      <c r="E53" s="219" t="n">
        <f aca="false">M11-L11</f>
        <v>548.275</v>
      </c>
      <c r="F53" s="31" t="n">
        <f aca="false">E53/12</f>
        <v>45.6895833333333</v>
      </c>
      <c r="G53" s="31" t="n">
        <f aca="false">482/12</f>
        <v>40.1666666666667</v>
      </c>
      <c r="H53" s="31" t="n">
        <f aca="false">E53/24</f>
        <v>22.8447916666667</v>
      </c>
      <c r="I53" s="31" t="n">
        <v>0</v>
      </c>
      <c r="J53" s="31" t="n">
        <f aca="false">E53*12.15%</f>
        <v>66.6154125</v>
      </c>
      <c r="K53" s="31" t="n">
        <f aca="false">SUM(F53:J53)</f>
        <v>175.316454166667</v>
      </c>
    </row>
    <row r="54" customFormat="false" ht="15.75" hidden="false" customHeight="false" outlineLevel="0" collapsed="false">
      <c r="A54" s="207" t="n">
        <v>8</v>
      </c>
      <c r="B54" s="207" t="s">
        <v>294</v>
      </c>
      <c r="C54" s="207" t="s">
        <v>292</v>
      </c>
      <c r="D54" s="216" t="n">
        <v>45207</v>
      </c>
      <c r="E54" s="219" t="n">
        <f aca="false">M12-L12</f>
        <v>548.275</v>
      </c>
      <c r="F54" s="31" t="n">
        <f aca="false">E54/12</f>
        <v>45.6895833333333</v>
      </c>
      <c r="G54" s="31" t="n">
        <f aca="false">482/12</f>
        <v>40.1666666666667</v>
      </c>
      <c r="H54" s="31" t="n">
        <f aca="false">E54/24</f>
        <v>22.8447916666667</v>
      </c>
      <c r="I54" s="31" t="n">
        <v>0</v>
      </c>
      <c r="J54" s="31" t="n">
        <f aca="false">E54*12.15%</f>
        <v>66.6154125</v>
      </c>
      <c r="K54" s="31" t="n">
        <f aca="false">SUM(F54:J54)</f>
        <v>175.316454166667</v>
      </c>
    </row>
    <row r="55" customFormat="false" ht="15.75" hidden="false" customHeight="false" outlineLevel="0" collapsed="false">
      <c r="A55" s="207" t="n">
        <v>9</v>
      </c>
      <c r="B55" s="207" t="s">
        <v>295</v>
      </c>
      <c r="C55" s="207" t="s">
        <v>292</v>
      </c>
      <c r="D55" s="216" t="n">
        <v>45208</v>
      </c>
      <c r="E55" s="219" t="n">
        <f aca="false">M13-L13</f>
        <v>548.275</v>
      </c>
      <c r="F55" s="31" t="n">
        <f aca="false">E55/12</f>
        <v>45.6895833333333</v>
      </c>
      <c r="G55" s="31" t="n">
        <f aca="false">482/12</f>
        <v>40.1666666666667</v>
      </c>
      <c r="H55" s="31" t="n">
        <f aca="false">E55/24</f>
        <v>22.8447916666667</v>
      </c>
      <c r="I55" s="31" t="n">
        <v>0</v>
      </c>
      <c r="J55" s="31" t="n">
        <f aca="false">E55*12.15%</f>
        <v>66.6154125</v>
      </c>
      <c r="K55" s="31" t="n">
        <f aca="false">SUM(F55:J55)</f>
        <v>175.316454166667</v>
      </c>
    </row>
    <row r="56" customFormat="false" ht="15.75" hidden="false" customHeight="false" outlineLevel="0" collapsed="false">
      <c r="A56" s="207" t="n">
        <v>10</v>
      </c>
      <c r="B56" s="207" t="s">
        <v>296</v>
      </c>
      <c r="C56" s="207" t="s">
        <v>292</v>
      </c>
      <c r="D56" s="216" t="n">
        <v>45209</v>
      </c>
      <c r="E56" s="219" t="n">
        <f aca="false">M14-L14</f>
        <v>548.275</v>
      </c>
      <c r="F56" s="31" t="n">
        <f aca="false">E56/12</f>
        <v>45.6895833333333</v>
      </c>
      <c r="G56" s="31" t="n">
        <f aca="false">482/12</f>
        <v>40.1666666666667</v>
      </c>
      <c r="H56" s="31" t="n">
        <f aca="false">E56/24</f>
        <v>22.8447916666667</v>
      </c>
      <c r="I56" s="31" t="n">
        <v>0</v>
      </c>
      <c r="J56" s="31" t="n">
        <f aca="false">E56*12.15%</f>
        <v>66.6154125</v>
      </c>
      <c r="K56" s="31" t="n">
        <f aca="false">SUM(F56:J56)</f>
        <v>175.316454166667</v>
      </c>
    </row>
    <row r="57" customFormat="false" ht="15.75" hidden="false" customHeight="false" outlineLevel="0" collapsed="false">
      <c r="A57" s="207" t="n">
        <v>11</v>
      </c>
      <c r="B57" s="207" t="s">
        <v>291</v>
      </c>
      <c r="C57" s="207" t="s">
        <v>292</v>
      </c>
      <c r="D57" s="216" t="n">
        <v>45210</v>
      </c>
      <c r="E57" s="219" t="n">
        <f aca="false">M15-L15</f>
        <v>548.275</v>
      </c>
      <c r="F57" s="31" t="n">
        <f aca="false">E57/12</f>
        <v>45.6895833333333</v>
      </c>
      <c r="G57" s="31" t="n">
        <f aca="false">482/12</f>
        <v>40.1666666666667</v>
      </c>
      <c r="H57" s="31" t="n">
        <f aca="false">E57/24</f>
        <v>22.8447916666667</v>
      </c>
      <c r="I57" s="31" t="n">
        <v>0</v>
      </c>
      <c r="J57" s="31" t="n">
        <f aca="false">E57*12.15%</f>
        <v>66.6154125</v>
      </c>
      <c r="K57" s="31" t="n">
        <f aca="false">SUM(F57:J57)</f>
        <v>175.316454166667</v>
      </c>
    </row>
    <row r="58" customFormat="false" ht="15.75" hidden="false" customHeight="false" outlineLevel="0" collapsed="false">
      <c r="A58" s="207" t="n">
        <v>12</v>
      </c>
      <c r="B58" s="207" t="s">
        <v>293</v>
      </c>
      <c r="C58" s="207" t="s">
        <v>292</v>
      </c>
      <c r="D58" s="216" t="n">
        <v>45211</v>
      </c>
      <c r="E58" s="219" t="n">
        <f aca="false">M16-L16</f>
        <v>548.275</v>
      </c>
      <c r="F58" s="31" t="n">
        <f aca="false">E58/12</f>
        <v>45.6895833333333</v>
      </c>
      <c r="G58" s="31" t="n">
        <f aca="false">482/12</f>
        <v>40.1666666666667</v>
      </c>
      <c r="H58" s="31" t="n">
        <f aca="false">E58/24</f>
        <v>22.8447916666667</v>
      </c>
      <c r="I58" s="31" t="n">
        <v>0</v>
      </c>
      <c r="J58" s="31" t="n">
        <f aca="false">E58*12.15%</f>
        <v>66.6154125</v>
      </c>
      <c r="K58" s="31" t="n">
        <f aca="false">SUM(F58:J58)</f>
        <v>175.316454166667</v>
      </c>
    </row>
    <row r="59" customFormat="false" ht="15.75" hidden="false" customHeight="false" outlineLevel="0" collapsed="false">
      <c r="A59" s="207" t="n">
        <v>13</v>
      </c>
      <c r="B59" s="207" t="s">
        <v>294</v>
      </c>
      <c r="C59" s="207" t="s">
        <v>292</v>
      </c>
      <c r="D59" s="216" t="n">
        <v>45212</v>
      </c>
      <c r="E59" s="219" t="n">
        <f aca="false">M17-L17</f>
        <v>548.275</v>
      </c>
      <c r="F59" s="31" t="n">
        <f aca="false">E59/12</f>
        <v>45.6895833333333</v>
      </c>
      <c r="G59" s="31" t="n">
        <f aca="false">482/12</f>
        <v>40.1666666666667</v>
      </c>
      <c r="H59" s="31" t="n">
        <f aca="false">E59/24</f>
        <v>22.8447916666667</v>
      </c>
      <c r="I59" s="31" t="n">
        <v>0</v>
      </c>
      <c r="J59" s="31" t="n">
        <f aca="false">E59*12.15%</f>
        <v>66.6154125</v>
      </c>
      <c r="K59" s="31" t="n">
        <f aca="false">SUM(F59:J59)</f>
        <v>175.316454166667</v>
      </c>
    </row>
    <row r="60" customFormat="false" ht="15.75" hidden="false" customHeight="false" outlineLevel="0" collapsed="false">
      <c r="A60" s="207" t="n">
        <v>14</v>
      </c>
      <c r="B60" s="207" t="s">
        <v>295</v>
      </c>
      <c r="C60" s="207" t="s">
        <v>292</v>
      </c>
      <c r="D60" s="216" t="n">
        <v>45213</v>
      </c>
      <c r="E60" s="219" t="n">
        <f aca="false">M18-L18</f>
        <v>548.275</v>
      </c>
      <c r="F60" s="31" t="n">
        <f aca="false">E60/12</f>
        <v>45.6895833333333</v>
      </c>
      <c r="G60" s="31" t="n">
        <f aca="false">482/12</f>
        <v>40.1666666666667</v>
      </c>
      <c r="H60" s="31" t="n">
        <f aca="false">E60/24</f>
        <v>22.8447916666667</v>
      </c>
      <c r="I60" s="31" t="n">
        <v>0</v>
      </c>
      <c r="J60" s="31" t="n">
        <f aca="false">E60*12.15%</f>
        <v>66.6154125</v>
      </c>
      <c r="K60" s="31" t="n">
        <f aca="false">SUM(F60:J60)</f>
        <v>175.316454166667</v>
      </c>
    </row>
    <row r="61" customFormat="false" ht="15.75" hidden="false" customHeight="false" outlineLevel="0" collapsed="false">
      <c r="A61" s="207" t="n">
        <v>15</v>
      </c>
      <c r="B61" s="207" t="s">
        <v>296</v>
      </c>
      <c r="C61" s="207" t="s">
        <v>292</v>
      </c>
      <c r="D61" s="216" t="n">
        <v>45214</v>
      </c>
      <c r="E61" s="219" t="n">
        <f aca="false">M19-L19</f>
        <v>548.275</v>
      </c>
      <c r="F61" s="31" t="n">
        <f aca="false">E61/12</f>
        <v>45.6895833333333</v>
      </c>
      <c r="G61" s="31" t="n">
        <f aca="false">482/12</f>
        <v>40.1666666666667</v>
      </c>
      <c r="H61" s="31" t="n">
        <f aca="false">E61/24</f>
        <v>22.8447916666667</v>
      </c>
      <c r="I61" s="31" t="n">
        <v>0</v>
      </c>
      <c r="J61" s="31" t="n">
        <f aca="false">E61*12.15%</f>
        <v>66.6154125</v>
      </c>
      <c r="K61" s="31" t="n">
        <f aca="false">SUM(F61:J61)</f>
        <v>175.316454166667</v>
      </c>
    </row>
    <row r="62" customFormat="false" ht="15.75" hidden="false" customHeight="false" outlineLevel="0" collapsed="false">
      <c r="A62" s="207" t="n">
        <v>16</v>
      </c>
      <c r="B62" s="207" t="s">
        <v>291</v>
      </c>
      <c r="C62" s="207" t="s">
        <v>292</v>
      </c>
      <c r="D62" s="216" t="n">
        <v>45215</v>
      </c>
      <c r="E62" s="219" t="n">
        <f aca="false">M20-L20</f>
        <v>548.275</v>
      </c>
      <c r="F62" s="31" t="n">
        <f aca="false">E62/12</f>
        <v>45.6895833333333</v>
      </c>
      <c r="G62" s="31" t="n">
        <f aca="false">482/12</f>
        <v>40.1666666666667</v>
      </c>
      <c r="H62" s="31" t="n">
        <f aca="false">E62/24</f>
        <v>22.8447916666667</v>
      </c>
      <c r="I62" s="31" t="n">
        <v>0</v>
      </c>
      <c r="J62" s="31" t="n">
        <f aca="false">E62*12.15%</f>
        <v>66.6154125</v>
      </c>
      <c r="K62" s="31" t="n">
        <f aca="false">SUM(F62:J62)</f>
        <v>175.316454166667</v>
      </c>
    </row>
    <row r="63" customFormat="false" ht="15.75" hidden="false" customHeight="false" outlineLevel="0" collapsed="false">
      <c r="A63" s="207" t="n">
        <v>17</v>
      </c>
      <c r="B63" s="207" t="s">
        <v>293</v>
      </c>
      <c r="C63" s="207" t="s">
        <v>292</v>
      </c>
      <c r="D63" s="216" t="n">
        <v>45216</v>
      </c>
      <c r="E63" s="219" t="n">
        <f aca="false">M21-L21</f>
        <v>548.275</v>
      </c>
      <c r="F63" s="31" t="n">
        <f aca="false">E63/12</f>
        <v>45.6895833333333</v>
      </c>
      <c r="G63" s="31" t="n">
        <f aca="false">482/12</f>
        <v>40.1666666666667</v>
      </c>
      <c r="H63" s="31" t="n">
        <f aca="false">E63/24</f>
        <v>22.8447916666667</v>
      </c>
      <c r="I63" s="31" t="n">
        <v>0</v>
      </c>
      <c r="J63" s="31" t="n">
        <f aca="false">E63*12.15%</f>
        <v>66.6154125</v>
      </c>
      <c r="K63" s="31" t="n">
        <f aca="false">SUM(F63:J63)</f>
        <v>175.316454166667</v>
      </c>
    </row>
    <row r="64" customFormat="false" ht="15.75" hidden="false" customHeight="false" outlineLevel="0" collapsed="false">
      <c r="A64" s="207" t="n">
        <v>18</v>
      </c>
      <c r="B64" s="207" t="s">
        <v>294</v>
      </c>
      <c r="C64" s="207" t="s">
        <v>292</v>
      </c>
      <c r="D64" s="216" t="n">
        <v>45217</v>
      </c>
      <c r="E64" s="219" t="n">
        <f aca="false">M22-L22</f>
        <v>548.275</v>
      </c>
      <c r="F64" s="31" t="n">
        <f aca="false">E64/12</f>
        <v>45.6895833333333</v>
      </c>
      <c r="G64" s="31" t="n">
        <f aca="false">482/12</f>
        <v>40.1666666666667</v>
      </c>
      <c r="H64" s="31" t="n">
        <f aca="false">E64/24</f>
        <v>22.8447916666667</v>
      </c>
      <c r="I64" s="31" t="n">
        <v>0</v>
      </c>
      <c r="J64" s="31" t="n">
        <f aca="false">E64*12.15%</f>
        <v>66.6154125</v>
      </c>
      <c r="K64" s="31" t="n">
        <f aca="false">SUM(F64:J64)</f>
        <v>175.316454166667</v>
      </c>
    </row>
    <row r="65" customFormat="false" ht="15.75" hidden="false" customHeight="false" outlineLevel="0" collapsed="false">
      <c r="A65" s="207" t="n">
        <v>19</v>
      </c>
      <c r="B65" s="207" t="s">
        <v>295</v>
      </c>
      <c r="C65" s="207" t="s">
        <v>292</v>
      </c>
      <c r="D65" s="216" t="n">
        <v>45218</v>
      </c>
      <c r="E65" s="219" t="n">
        <f aca="false">M23-L23</f>
        <v>548.275</v>
      </c>
      <c r="F65" s="31" t="n">
        <f aca="false">E65/12</f>
        <v>45.6895833333333</v>
      </c>
      <c r="G65" s="31" t="n">
        <f aca="false">482/12</f>
        <v>40.1666666666667</v>
      </c>
      <c r="H65" s="31" t="n">
        <f aca="false">E65/24</f>
        <v>22.8447916666667</v>
      </c>
      <c r="I65" s="31" t="n">
        <v>0</v>
      </c>
      <c r="J65" s="31" t="n">
        <f aca="false">E65*12.15%</f>
        <v>66.6154125</v>
      </c>
      <c r="K65" s="31" t="n">
        <f aca="false">SUM(F65:J65)</f>
        <v>175.316454166667</v>
      </c>
    </row>
    <row r="66" customFormat="false" ht="15.75" hidden="false" customHeight="false" outlineLevel="0" collapsed="false">
      <c r="A66" s="207" t="n">
        <v>20</v>
      </c>
      <c r="B66" s="207" t="s">
        <v>296</v>
      </c>
      <c r="C66" s="207" t="s">
        <v>292</v>
      </c>
      <c r="D66" s="216" t="n">
        <v>45219</v>
      </c>
      <c r="E66" s="219" t="n">
        <f aca="false">M24-L24</f>
        <v>548.275</v>
      </c>
      <c r="F66" s="31" t="n">
        <f aca="false">E66/12</f>
        <v>45.6895833333333</v>
      </c>
      <c r="G66" s="31" t="n">
        <f aca="false">482/12</f>
        <v>40.1666666666667</v>
      </c>
      <c r="H66" s="31" t="n">
        <f aca="false">E66/24</f>
        <v>22.8447916666667</v>
      </c>
      <c r="I66" s="31" t="n">
        <v>0</v>
      </c>
      <c r="J66" s="31" t="n">
        <f aca="false">E66*12.15%</f>
        <v>66.6154125</v>
      </c>
      <c r="K66" s="31" t="n">
        <f aca="false">SUM(F66:J66)</f>
        <v>175.316454166667</v>
      </c>
    </row>
    <row r="67" customFormat="false" ht="15.75" hidden="false" customHeight="false" outlineLevel="0" collapsed="false">
      <c r="A67" s="207" t="n">
        <v>21</v>
      </c>
      <c r="B67" s="207" t="s">
        <v>291</v>
      </c>
      <c r="C67" s="207" t="s">
        <v>292</v>
      </c>
      <c r="D67" s="216" t="n">
        <v>45220</v>
      </c>
      <c r="E67" s="219" t="n">
        <f aca="false">M25-L25</f>
        <v>548.275</v>
      </c>
      <c r="F67" s="31" t="n">
        <f aca="false">E67/12</f>
        <v>45.6895833333333</v>
      </c>
      <c r="G67" s="31" t="n">
        <f aca="false">482/12</f>
        <v>40.1666666666667</v>
      </c>
      <c r="H67" s="31" t="n">
        <f aca="false">E67/24</f>
        <v>22.8447916666667</v>
      </c>
      <c r="I67" s="31" t="n">
        <v>0</v>
      </c>
      <c r="J67" s="31" t="n">
        <f aca="false">E67*12.15%</f>
        <v>66.6154125</v>
      </c>
      <c r="K67" s="31" t="n">
        <f aca="false">SUM(F67:J67)</f>
        <v>175.316454166667</v>
      </c>
    </row>
    <row r="68" customFormat="false" ht="15.75" hidden="false" customHeight="false" outlineLevel="0" collapsed="false">
      <c r="A68" s="207" t="n">
        <v>22</v>
      </c>
      <c r="B68" s="207" t="s">
        <v>293</v>
      </c>
      <c r="C68" s="207" t="s">
        <v>292</v>
      </c>
      <c r="D68" s="216" t="n">
        <v>45221</v>
      </c>
      <c r="E68" s="219" t="n">
        <f aca="false">M26-L26</f>
        <v>548.275</v>
      </c>
      <c r="F68" s="31" t="n">
        <f aca="false">E68/12</f>
        <v>45.6895833333333</v>
      </c>
      <c r="G68" s="31" t="n">
        <f aca="false">482/12</f>
        <v>40.1666666666667</v>
      </c>
      <c r="H68" s="31" t="n">
        <f aca="false">E68/24</f>
        <v>22.8447916666667</v>
      </c>
      <c r="I68" s="31" t="n">
        <v>0</v>
      </c>
      <c r="J68" s="31" t="n">
        <f aca="false">E68*12.15%</f>
        <v>66.6154125</v>
      </c>
      <c r="K68" s="31" t="n">
        <f aca="false">SUM(F68:J68)</f>
        <v>175.316454166667</v>
      </c>
    </row>
    <row r="69" customFormat="false" ht="15.75" hidden="false" customHeight="false" outlineLevel="0" collapsed="false">
      <c r="A69" s="207" t="n">
        <v>23</v>
      </c>
      <c r="B69" s="207" t="s">
        <v>294</v>
      </c>
      <c r="C69" s="207" t="s">
        <v>292</v>
      </c>
      <c r="D69" s="216" t="n">
        <v>45222</v>
      </c>
      <c r="E69" s="219" t="n">
        <f aca="false">M27-L27</f>
        <v>548.275</v>
      </c>
      <c r="F69" s="31" t="n">
        <f aca="false">E69/12</f>
        <v>45.6895833333333</v>
      </c>
      <c r="G69" s="31" t="n">
        <f aca="false">482/12</f>
        <v>40.1666666666667</v>
      </c>
      <c r="H69" s="31" t="n">
        <f aca="false">E69/24</f>
        <v>22.8447916666667</v>
      </c>
      <c r="I69" s="31" t="n">
        <v>0</v>
      </c>
      <c r="J69" s="31" t="n">
        <f aca="false">E69*12.15%</f>
        <v>66.6154125</v>
      </c>
      <c r="K69" s="31" t="n">
        <f aca="false">SUM(F69:J69)</f>
        <v>175.316454166667</v>
      </c>
    </row>
    <row r="70" customFormat="false" ht="15.75" hidden="false" customHeight="false" outlineLevel="0" collapsed="false">
      <c r="A70" s="207" t="n">
        <v>24</v>
      </c>
      <c r="B70" s="207" t="s">
        <v>295</v>
      </c>
      <c r="C70" s="207" t="s">
        <v>292</v>
      </c>
      <c r="D70" s="216" t="n">
        <v>45223</v>
      </c>
      <c r="E70" s="219" t="n">
        <f aca="false">M28-L28</f>
        <v>548.275</v>
      </c>
      <c r="F70" s="31" t="n">
        <f aca="false">E70/12</f>
        <v>45.6895833333333</v>
      </c>
      <c r="G70" s="31" t="n">
        <f aca="false">482/12</f>
        <v>40.1666666666667</v>
      </c>
      <c r="H70" s="31" t="n">
        <f aca="false">E70/24</f>
        <v>22.8447916666667</v>
      </c>
      <c r="I70" s="31" t="n">
        <v>0</v>
      </c>
      <c r="J70" s="31" t="n">
        <f aca="false">E70*12.15%</f>
        <v>66.6154125</v>
      </c>
      <c r="K70" s="31" t="n">
        <f aca="false">SUM(F70:J70)</f>
        <v>175.316454166667</v>
      </c>
    </row>
    <row r="71" customFormat="false" ht="15.75" hidden="false" customHeight="false" outlineLevel="0" collapsed="false">
      <c r="A71" s="207" t="n">
        <v>25</v>
      </c>
      <c r="B71" s="207" t="s">
        <v>296</v>
      </c>
      <c r="C71" s="207" t="s">
        <v>292</v>
      </c>
      <c r="D71" s="216" t="n">
        <v>45224</v>
      </c>
      <c r="E71" s="219" t="n">
        <f aca="false">M29-L29</f>
        <v>548.275</v>
      </c>
      <c r="F71" s="31" t="n">
        <f aca="false">E71/12</f>
        <v>45.6895833333333</v>
      </c>
      <c r="G71" s="31" t="n">
        <f aca="false">482/12</f>
        <v>40.1666666666667</v>
      </c>
      <c r="H71" s="31" t="n">
        <f aca="false">E71/24</f>
        <v>22.8447916666667</v>
      </c>
      <c r="I71" s="31" t="n">
        <v>0</v>
      </c>
      <c r="J71" s="31" t="n">
        <f aca="false">E71*12.15%</f>
        <v>66.6154125</v>
      </c>
      <c r="K71" s="31" t="n">
        <f aca="false">SUM(F71:J71)</f>
        <v>175.316454166667</v>
      </c>
    </row>
    <row r="72" customFormat="false" ht="15.75" hidden="false" customHeight="false" outlineLevel="0" collapsed="false">
      <c r="A72" s="207" t="n">
        <v>26</v>
      </c>
      <c r="B72" s="207" t="s">
        <v>291</v>
      </c>
      <c r="C72" s="207" t="s">
        <v>292</v>
      </c>
      <c r="D72" s="216" t="n">
        <v>45225</v>
      </c>
      <c r="E72" s="219" t="n">
        <f aca="false">M30-L30</f>
        <v>548.275</v>
      </c>
      <c r="F72" s="31" t="n">
        <f aca="false">E72/12</f>
        <v>45.6895833333333</v>
      </c>
      <c r="G72" s="31" t="n">
        <f aca="false">482/12</f>
        <v>40.1666666666667</v>
      </c>
      <c r="H72" s="31" t="n">
        <f aca="false">E72/24</f>
        <v>22.8447916666667</v>
      </c>
      <c r="I72" s="31" t="n">
        <v>0</v>
      </c>
      <c r="J72" s="31" t="n">
        <f aca="false">E72*12.15%</f>
        <v>66.6154125</v>
      </c>
      <c r="K72" s="31" t="n">
        <f aca="false">SUM(F72:J72)</f>
        <v>175.316454166667</v>
      </c>
    </row>
    <row r="73" customFormat="false" ht="15.75" hidden="false" customHeight="false" outlineLevel="0" collapsed="false">
      <c r="A73" s="207" t="n">
        <v>27</v>
      </c>
      <c r="B73" s="207" t="s">
        <v>293</v>
      </c>
      <c r="C73" s="207" t="s">
        <v>292</v>
      </c>
      <c r="D73" s="216" t="n">
        <v>45226</v>
      </c>
      <c r="E73" s="219" t="n">
        <f aca="false">M31-L31</f>
        <v>548.275</v>
      </c>
      <c r="F73" s="31" t="n">
        <f aca="false">E73/12</f>
        <v>45.6895833333333</v>
      </c>
      <c r="G73" s="31" t="n">
        <f aca="false">482/12</f>
        <v>40.1666666666667</v>
      </c>
      <c r="H73" s="31" t="n">
        <f aca="false">E73/24</f>
        <v>22.8447916666667</v>
      </c>
      <c r="I73" s="31" t="n">
        <v>0</v>
      </c>
      <c r="J73" s="31" t="n">
        <f aca="false">E73*12.15%</f>
        <v>66.6154125</v>
      </c>
      <c r="K73" s="31" t="n">
        <f aca="false">SUM(F73:J73)</f>
        <v>175.316454166667</v>
      </c>
    </row>
    <row r="74" customFormat="false" ht="15.75" hidden="false" customHeight="false" outlineLevel="0" collapsed="false">
      <c r="A74" s="207" t="n">
        <v>28</v>
      </c>
      <c r="B74" s="207" t="s">
        <v>294</v>
      </c>
      <c r="C74" s="207" t="s">
        <v>292</v>
      </c>
      <c r="D74" s="216" t="n">
        <v>45227</v>
      </c>
      <c r="E74" s="219" t="n">
        <f aca="false">M32-L32</f>
        <v>548.275</v>
      </c>
      <c r="F74" s="31" t="n">
        <f aca="false">E74/12</f>
        <v>45.6895833333333</v>
      </c>
      <c r="G74" s="31" t="n">
        <f aca="false">482/12</f>
        <v>40.1666666666667</v>
      </c>
      <c r="H74" s="31" t="n">
        <f aca="false">E74/24</f>
        <v>22.8447916666667</v>
      </c>
      <c r="I74" s="31" t="n">
        <v>0</v>
      </c>
      <c r="J74" s="31" t="n">
        <f aca="false">E74*12.15%</f>
        <v>66.6154125</v>
      </c>
      <c r="K74" s="31" t="n">
        <f aca="false">SUM(F74:J74)</f>
        <v>175.316454166667</v>
      </c>
    </row>
    <row r="75" customFormat="false" ht="15.75" hidden="false" customHeight="false" outlineLevel="0" collapsed="false">
      <c r="A75" s="207" t="n">
        <v>29</v>
      </c>
      <c r="B75" s="207" t="s">
        <v>295</v>
      </c>
      <c r="C75" s="207" t="s">
        <v>292</v>
      </c>
      <c r="D75" s="216" t="n">
        <v>45228</v>
      </c>
      <c r="E75" s="219" t="n">
        <f aca="false">M33-L33</f>
        <v>548.275</v>
      </c>
      <c r="F75" s="31" t="n">
        <f aca="false">E75/12</f>
        <v>45.6895833333333</v>
      </c>
      <c r="G75" s="31" t="n">
        <f aca="false">482/12</f>
        <v>40.1666666666667</v>
      </c>
      <c r="H75" s="31" t="n">
        <f aca="false">E75/24</f>
        <v>22.8447916666667</v>
      </c>
      <c r="I75" s="31" t="n">
        <v>0</v>
      </c>
      <c r="J75" s="31" t="n">
        <f aca="false">E75*12.15%</f>
        <v>66.6154125</v>
      </c>
      <c r="K75" s="31" t="n">
        <f aca="false">SUM(F75:J75)</f>
        <v>175.316454166667</v>
      </c>
    </row>
    <row r="76" customFormat="false" ht="15.75" hidden="false" customHeight="false" outlineLevel="0" collapsed="false">
      <c r="A76" s="207" t="n">
        <v>30</v>
      </c>
      <c r="B76" s="207" t="s">
        <v>296</v>
      </c>
      <c r="C76" s="207" t="s">
        <v>292</v>
      </c>
      <c r="D76" s="216" t="n">
        <v>45229</v>
      </c>
      <c r="E76" s="219" t="n">
        <f aca="false">M34-L34</f>
        <v>548.275</v>
      </c>
      <c r="F76" s="31" t="n">
        <f aca="false">E76/12</f>
        <v>45.6895833333333</v>
      </c>
      <c r="G76" s="31" t="n">
        <f aca="false">482/12</f>
        <v>40.1666666666667</v>
      </c>
      <c r="H76" s="31" t="n">
        <f aca="false">E76/24</f>
        <v>22.8447916666667</v>
      </c>
      <c r="I76" s="31" t="n">
        <v>0</v>
      </c>
      <c r="J76" s="31" t="n">
        <f aca="false">E76*12.15%</f>
        <v>66.6154125</v>
      </c>
      <c r="K76" s="31" t="n">
        <f aca="false">SUM(F76:J76)</f>
        <v>175.316454166667</v>
      </c>
    </row>
    <row r="77" customFormat="false" ht="15.75" hidden="false" customHeight="false" outlineLevel="0" collapsed="false">
      <c r="F77" s="222" t="n">
        <f aca="false">SUM(F47:F76)</f>
        <v>1370.6875</v>
      </c>
      <c r="G77" s="222" t="n">
        <f aca="false">SUM(G47:G76)</f>
        <v>1205</v>
      </c>
      <c r="H77" s="222" t="n">
        <f aca="false">SUM(H47:H76)</f>
        <v>685.34375</v>
      </c>
      <c r="I77" s="174" t="n">
        <f aca="false">SUM(I47:I76)</f>
        <v>0</v>
      </c>
      <c r="J77" s="222" t="n">
        <f aca="false">SUM(J47:J76)</f>
        <v>1998.462375</v>
      </c>
      <c r="K77" s="222" t="n">
        <f aca="false">SUM(K47:K76)</f>
        <v>5259.493625</v>
      </c>
    </row>
    <row r="79" customFormat="false" ht="15.75" hidden="false" customHeight="false" outlineLevel="0" collapsed="false">
      <c r="B79" s="204" t="s">
        <v>308</v>
      </c>
    </row>
    <row r="80" customFormat="false" ht="51" hidden="false" customHeight="true" outlineLevel="0" collapsed="false">
      <c r="A80" s="29" t="s">
        <v>275</v>
      </c>
      <c r="B80" s="29" t="s">
        <v>276</v>
      </c>
      <c r="C80" s="29" t="s">
        <v>277</v>
      </c>
      <c r="D80" s="221" t="s">
        <v>278</v>
      </c>
      <c r="E80" s="214" t="s">
        <v>284</v>
      </c>
      <c r="F80" s="29" t="s">
        <v>302</v>
      </c>
      <c r="G80" s="29" t="s">
        <v>303</v>
      </c>
      <c r="H80" s="29" t="s">
        <v>304</v>
      </c>
      <c r="I80" s="214" t="s">
        <v>305</v>
      </c>
      <c r="J80" s="214" t="s">
        <v>306</v>
      </c>
      <c r="K80" s="214" t="s">
        <v>307</v>
      </c>
    </row>
    <row r="81" customFormat="false" ht="15.75" hidden="false" customHeight="false" outlineLevel="0" collapsed="false">
      <c r="A81" s="207" t="n">
        <v>1</v>
      </c>
      <c r="B81" s="207" t="s">
        <v>291</v>
      </c>
      <c r="C81" s="207" t="s">
        <v>298</v>
      </c>
      <c r="D81" s="216" t="n">
        <v>45200</v>
      </c>
      <c r="E81" s="219" t="n">
        <f aca="false">M39-L39</f>
        <v>896.25</v>
      </c>
      <c r="F81" s="31" t="n">
        <f aca="false">E81/12</f>
        <v>74.6875</v>
      </c>
      <c r="G81" s="31" t="n">
        <f aca="false">482/12</f>
        <v>40.1666666666667</v>
      </c>
      <c r="H81" s="31" t="n">
        <f aca="false">E81/24</f>
        <v>37.34375</v>
      </c>
      <c r="I81" s="31" t="n">
        <v>0</v>
      </c>
      <c r="J81" s="31" t="n">
        <f aca="false">E81*12.15%</f>
        <v>108.894375</v>
      </c>
      <c r="K81" s="31" t="n">
        <f aca="false">SUM(F81:J81)</f>
        <v>261.092291666667</v>
      </c>
    </row>
    <row r="82" customFormat="false" ht="15.75" hidden="false" customHeight="false" outlineLevel="0" collapsed="false">
      <c r="A82" s="207" t="n">
        <v>2</v>
      </c>
      <c r="B82" s="207" t="s">
        <v>293</v>
      </c>
      <c r="C82" s="207" t="s">
        <v>309</v>
      </c>
      <c r="D82" s="216" t="n">
        <v>45201</v>
      </c>
      <c r="E82" s="219" t="n">
        <f aca="false">M40-L40</f>
        <v>799.375</v>
      </c>
      <c r="F82" s="31" t="n">
        <f aca="false">E82/12</f>
        <v>66.6145833333333</v>
      </c>
      <c r="G82" s="31" t="n">
        <f aca="false">482/12</f>
        <v>40.1666666666667</v>
      </c>
      <c r="H82" s="31" t="n">
        <f aca="false">E82/24</f>
        <v>33.3072916666667</v>
      </c>
      <c r="I82" s="31" t="n">
        <v>0</v>
      </c>
      <c r="J82" s="31" t="n">
        <f aca="false">E82*12.15%</f>
        <v>97.1240625</v>
      </c>
      <c r="K82" s="31" t="n">
        <f aca="false">SUM(F82:J82)</f>
        <v>237.212604166667</v>
      </c>
    </row>
    <row r="83" customFormat="false" ht="15.75" hidden="false" customHeight="false" outlineLevel="0" collapsed="false">
      <c r="F83" s="222" t="n">
        <f aca="false">SUM(F81:F82)</f>
        <v>141.302083333333</v>
      </c>
      <c r="G83" s="222" t="n">
        <f aca="false">SUM(G81:G82)</f>
        <v>80.3333333333333</v>
      </c>
      <c r="H83" s="222" t="n">
        <f aca="false">SUM(H81:H82)</f>
        <v>70.6510416666667</v>
      </c>
      <c r="I83" s="222" t="n">
        <f aca="false">SUM(I81:I82)</f>
        <v>0</v>
      </c>
      <c r="J83" s="222" t="n">
        <f aca="false">SUM(J81:J82)</f>
        <v>206.0184375</v>
      </c>
      <c r="K83" s="222" t="n">
        <f aca="false">SUM(K81:K82)</f>
        <v>498.304895833333</v>
      </c>
    </row>
  </sheetData>
  <mergeCells count="2">
    <mergeCell ref="H3:J3"/>
    <mergeCell ref="H37:J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2026-04-11T01:21:49Z</dcterms:created>
  <dc:creator>Microsoft Office User</dc:creator>
  <dc:description/>
  <dc:language>en-US</dc:language>
  <cp:lastModifiedBy>Microsoft Office User</cp:lastModifiedBy>
  <dcterms:modified xsi:type="dcterms:W3CDTF">2026-06-17T01:26:11Z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